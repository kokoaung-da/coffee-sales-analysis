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personalProject\coffeeOrderProject\report\"/>
    </mc:Choice>
  </mc:AlternateContent>
  <xr:revisionPtr revIDLastSave="0" documentId="13_ncr:1_{5F84AD2B-FFF4-4E53-B13E-4E9EE7AADC79}" xr6:coauthVersionLast="47" xr6:coauthVersionMax="47" xr10:uidLastSave="{00000000-0000-0000-0000-000000000000}"/>
  <bookViews>
    <workbookView showHorizontalScroll="0" showVerticalScroll="0" showSheetTabs="0" xWindow="-108" yWindow="-108" windowWidth="23256" windowHeight="12456" xr2:uid="{00000000-000D-0000-FFFF-FFFF00000000}"/>
  </bookViews>
  <sheets>
    <sheet name="dashboard" sheetId="19" r:id="rId1"/>
    <sheet name="analysis" sheetId="18" r:id="rId2"/>
  </sheets>
  <definedNames>
    <definedName name="Slicer_Loyalty_Card">#N/A</definedName>
    <definedName name="Slicer_Roast_Type">#N/A</definedName>
    <definedName name="Slicer_Size">#N/A</definedName>
    <definedName name="Timeline_Order_Date">#N/A</definedName>
  </definedNames>
  <calcPr calcId="191028"/>
  <pivotCaches>
    <pivotCache cacheId="34" r:id="rId3"/>
    <pivotCache cacheId="37" r:id="rId4"/>
    <pivotCache cacheId="40" r:id="rId5"/>
  </pivotCaches>
  <extLst>
    <ext xmlns:x14="http://schemas.microsoft.com/office/spreadsheetml/2009/9/main" uri="{876F7934-8845-4945-9796-88D515C7AA90}">
      <x14:pivotCaches>
        <pivotCache cacheId="3"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FCE2AD5D-F65C-4FA6-A056-5C36A1767C68}">
      <x15:dataModel>
        <x15:modelTables>
          <x15:modelTable id="customers_cd2e205c-d425-4724-8f5f-dbe9f2e0ff18" name="customers" connection="Query - customers"/>
          <x15:modelTable id="orders_642c4fb0-e927-4871-9d04-97cb071880e4" name="orders" connection="Query - orders"/>
          <x15:modelTable id="products_83a0a75d-8297-4db2-9886-243a0732266c" name="products" connection="Query - products"/>
          <x15:modelTable id="_measures" name="_measures" connection="Connection"/>
        </x15:modelTables>
        <x15:modelRelationships>
          <x15:modelRelationship fromTable="orders" fromColumn="Product ID" toTable="products" toColumn="Product ID"/>
          <x15:modelRelationship fromTable="orders" fromColumn="Customer ID" toTable="customers" toColumn="Custom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3D6928-E053-4051-8EA8-D8AB6810F20E}" name="Connection" type="104" refreshedVersion="0" background="1">
    <extLst>
      <ext xmlns:x15="http://schemas.microsoft.com/office/spreadsheetml/2010/11/main" uri="{DE250136-89BD-433C-8126-D09CA5730AF9}">
        <x15:connection id="_measures"/>
      </ext>
    </extLst>
  </connection>
  <connection id="2" xr16:uid="{BEBF5787-B3AE-46A7-A140-6F864216CE70}" name="Query - customers" description="Connection to the 'customers' query in the workbook." type="100" refreshedVersion="8" minRefreshableVersion="5">
    <extLst>
      <ext xmlns:x15="http://schemas.microsoft.com/office/spreadsheetml/2010/11/main" uri="{DE250136-89BD-433C-8126-D09CA5730AF9}">
        <x15:connection id="1fba61b0-4768-421f-bda7-4a39812f73c3"/>
      </ext>
    </extLst>
  </connection>
  <connection id="3" xr16:uid="{F9673F49-36A7-489A-BEE7-C1B7CE03D957}" name="Query - orders" description="Connection to the 'orders' query in the workbook." type="100" refreshedVersion="8" minRefreshableVersion="5">
    <extLst>
      <ext xmlns:x15="http://schemas.microsoft.com/office/spreadsheetml/2010/11/main" uri="{DE250136-89BD-433C-8126-D09CA5730AF9}">
        <x15:connection id="4701d5fc-b55c-44fb-a2d2-3e36bb1e57c1"/>
      </ext>
    </extLst>
  </connection>
  <connection id="4" xr16:uid="{52C74258-46CD-49E2-95CF-3E5B5E0AAFF9}" name="Query - products" description="Connection to the 'products' query in the workbook." type="100" refreshedVersion="8" minRefreshableVersion="5">
    <extLst>
      <ext xmlns:x15="http://schemas.microsoft.com/office/spreadsheetml/2010/11/main" uri="{DE250136-89BD-433C-8126-D09CA5730AF9}">
        <x15:connection id="01ea5fc5-49b8-4f0e-b3b5-c8dba8edff71"/>
      </ext>
    </extLst>
  </connection>
  <connection id="5" xr16:uid="{F1C14B9A-2044-4799-89BF-CFB136EF2A1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<sst xmlns="http://schemas.openxmlformats.org/spreadsheetml/2006/main" count="70" uniqueCount="37">
  <si>
    <t>Customer Name</t>
  </si>
  <si>
    <t>Country</t>
  </si>
  <si>
    <t>Coffee Type</t>
  </si>
  <si>
    <t>United States</t>
  </si>
  <si>
    <t>United Kingdom</t>
  </si>
  <si>
    <t>Ireland</t>
  </si>
  <si>
    <t>Nealson Cuttler</t>
  </si>
  <si>
    <t>Terri Farra</t>
  </si>
  <si>
    <t>Don Flintiff</t>
  </si>
  <si>
    <t>Allis Wilmore</t>
  </si>
  <si>
    <t>Brenn Dundredge</t>
  </si>
  <si>
    <t>2019</t>
  </si>
  <si>
    <t>Jan</t>
  </si>
  <si>
    <t>Feb</t>
  </si>
  <si>
    <t>Mar</t>
  </si>
  <si>
    <t>Apr</t>
  </si>
  <si>
    <t>May</t>
  </si>
  <si>
    <t>Jun</t>
  </si>
  <si>
    <t>Jul</t>
  </si>
  <si>
    <t>Aug</t>
  </si>
  <si>
    <t>Sep</t>
  </si>
  <si>
    <t>Oct</t>
  </si>
  <si>
    <t>Nov</t>
  </si>
  <si>
    <t>Dec</t>
  </si>
  <si>
    <t>2020</t>
  </si>
  <si>
    <t>2021</t>
  </si>
  <si>
    <t>2022</t>
  </si>
  <si>
    <t>Total sales</t>
  </si>
  <si>
    <t>Arabica</t>
  </si>
  <si>
    <t>Excelsa</t>
  </si>
  <si>
    <t>Liberica</t>
  </si>
  <si>
    <t>Robusta</t>
  </si>
  <si>
    <t>Total Sales Over Time</t>
  </si>
  <si>
    <t>Sales by Country</t>
  </si>
  <si>
    <t>Top 5 Customers</t>
  </si>
  <si>
    <t>OrderDate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</si>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</sst>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double">
        <color indexed="64"/>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0" fontId="1" fillId="0" borderId="1" xfId="0" applyFont="1" applyBorder="1"/>
    <xf numFmtId="0" fontId="0" fillId="0" borderId="1" xfId="0" applyBorder="1"/>
    <xf numFmtId="0" fontId="0" fillId="0" borderId="0" xfId="0" applyNumberFormat="1"/>
  </cellXfs>
  <cellStyles count="1">
    <cellStyle name="Normal" xfId="0" builtinId="0"/>
  </cellStyles>
  <dxfs count="4">
    <dxf>
      <font>
        <b/>
        <i val="0"/>
        <sz val="10"/>
        <color theme="0"/>
        <name val="Calibri"/>
        <family val="2"/>
        <scheme val="minor"/>
      </font>
      <border>
        <left style="thin">
          <color theme="0"/>
        </left>
        <right style="thin">
          <color theme="0"/>
        </right>
        <top style="thin">
          <color theme="0"/>
        </top>
        <bottom style="thin">
          <color theme="0"/>
        </bottom>
        <vertical/>
        <horizontal/>
      </border>
    </dxf>
    <dxf>
      <font>
        <b/>
        <i val="0"/>
        <sz val="9"/>
        <color theme="0"/>
      </font>
      <fill>
        <patternFill>
          <bgColor rgb="FF3C1464"/>
        </patternFill>
      </fill>
      <border diagonalUp="0" diagonalDown="0">
        <left style="thin">
          <color rgb="FF3C1464"/>
        </left>
        <right style="thin">
          <color rgb="FF3C1464"/>
        </right>
        <top style="thin">
          <color rgb="FF3C1464"/>
        </top>
        <bottom style="thin">
          <color rgb="FF3C1464"/>
        </bottom>
        <vertical/>
        <horizontal/>
      </border>
    </dxf>
    <dxf>
      <font>
        <color theme="0"/>
      </font>
      <border>
        <left style="thin">
          <color rgb="FF3C1464"/>
        </left>
        <right style="thin">
          <color rgb="FF3C1464"/>
        </right>
        <top style="thin">
          <color rgb="FF3C1464"/>
        </top>
        <bottom style="thin">
          <color rgb="FF3C1464"/>
        </bottom>
        <vertical/>
        <horizontal/>
      </border>
    </dxf>
    <dxf>
      <font>
        <color theme="1"/>
      </font>
      <fill>
        <patternFill>
          <bgColor rgb="FF3C1464"/>
        </patternFill>
      </fill>
      <border>
        <left style="thin">
          <color rgb="FF3C1464"/>
        </left>
        <right style="thin">
          <color rgb="FF3C1464"/>
        </right>
        <top style="thin">
          <color rgb="FF3C1464"/>
        </top>
        <bottom style="thin">
          <color rgb="FF3C1464"/>
        </bottom>
        <vertical/>
        <horizontal/>
      </border>
    </dxf>
  </dxfs>
  <tableStyles count="2" defaultTableStyle="TableStyleMedium2" defaultPivotStyle="PivotStyleMedium9">
    <tableStyle name="SlicerStyleLight1 2" pivot="0" table="0" count="10" xr9:uid="{AB35FF27-CE06-42D6-972E-E4FA985D83F0}">
      <tableStyleElement type="wholeTable" dxfId="3"/>
      <tableStyleElement type="headerRow" dxfId="2"/>
    </tableStyle>
    <tableStyle name="TimeSlicerStyleLight1 2" pivot="0" table="0" count="9" xr9:uid="{205ABF20-0466-46BE-A061-41F8EFBA8DE2}">
      <tableStyleElement type="wholeTable" dxfId="1"/>
      <tableStyleElement type="headerRow" dxfId="0"/>
    </tableStyle>
  </tableStyles>
  <colors>
    <mruColors>
      <color rgb="FFFF0000"/>
      <color rgb="FF00B0F0"/>
      <color rgb="FF333333"/>
      <color rgb="FF97450D"/>
      <color rgb="FFFFFF00"/>
      <color rgb="FF00B050"/>
      <color rgb="FF005024"/>
      <color rgb="FFD55DFF"/>
      <color rgb="FFC215FF"/>
      <color rgb="FF7030A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9"/>
            <color theme="0"/>
            <name val="Calibri"/>
            <family val="2"/>
            <scheme val="minor"/>
          </font>
          <fill>
            <patternFill patternType="solid">
              <fgColor theme="4" tint="0.59999389629810485"/>
              <bgColor rgb="FF3C1464"/>
            </patternFill>
          </fill>
          <border>
            <left style="thin">
              <color theme="0"/>
            </left>
            <right style="thin">
              <color theme="0"/>
            </right>
            <top style="thin">
              <color theme="0"/>
            </top>
            <bottom style="thin">
              <color theme="0"/>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trike/>
            <sz val="9"/>
            <color theme="0"/>
            <name val="Calibri"/>
            <family val="2"/>
            <scheme val="minor"/>
          </font>
          <fill>
            <patternFill patternType="solid">
              <fgColor rgb="FFFFFFFF"/>
              <bgColor rgb="FF3C1464"/>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4506668294322"/>
              <bgColor theme="0"/>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D55DFF"/>
            </patternFill>
          </fill>
          <border>
            <vertical/>
            <horizontal/>
          </border>
        </dxf>
        <dxf>
          <font>
            <b/>
            <i val="0"/>
            <sz val="8"/>
            <color theme="0"/>
            <name val="Calibri"/>
            <family val="2"/>
            <scheme val="minor"/>
          </font>
          <border>
            <left/>
            <right/>
            <top/>
            <bottom/>
            <vertical/>
            <horizontal/>
          </border>
        </dxf>
        <dxf>
          <font>
            <b/>
            <i val="0"/>
            <sz val="8"/>
            <color theme="0"/>
            <name val="Calibri"/>
            <family val="2"/>
            <scheme val="minor"/>
          </font>
          <border>
            <left/>
            <right/>
            <top/>
            <bottom/>
            <vertical/>
            <horizontal/>
          </border>
        </dxf>
        <dxf>
          <font>
            <b/>
            <i val="0"/>
            <sz val="8"/>
            <color theme="0"/>
            <name val="Calibri"/>
            <family val="2"/>
            <scheme val="minor"/>
          </font>
          <border>
            <left/>
            <right/>
            <top/>
            <bottom/>
            <vertical/>
            <horizontal/>
          </border>
        </dxf>
        <dxf>
          <font>
            <sz val="9"/>
            <color theme="0"/>
            <name val="Calibri"/>
            <family val="2"/>
            <scheme val="minor"/>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11/relationships/timelineCache" Target="timelineCaches/timeline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5.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3.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2.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[coffee_order_dashboard.xlsx]analysis!country_sales</c:name>
    <c:fmtId val="3"/>
  </c:pivotSource>
  <c:chart>
    <c:title>
      <c:tx>
        <c:rich>
          <a:bodyPr rot="0" spcFirstLastPara="1" vertOverflow="ellipsis" vert="horz" wrap="square" anchor="ctr" anchorCtr="1"/>
          <a:lstStyle/>
          <a:p>
            <a:pPr>
              <a:defRPr sz="1400" b="0" i="0" u="none" strike="noStrike" kern="1200" spc="0" baseline="0">
                <a:solidFill>
                  <a:srgbClr val="333333"/>
                </a:solidFill>
                <a:latin typeface="Calibri "/>
                <a:ea typeface="+mn-ea"/>
                <a:cs typeface="Segoe UI" panose="020B0502040204020203" pitchFamily="34" charset="0"/>
              </a:defRPr>
            </a:pPr>
            <a:r>
              <a:rPr lang="en-US" b="0">
                <a:solidFill>
                  <a:srgbClr val="333333"/>
                </a:solidFill>
                <a:latin typeface="Calibri "/>
                <a:cs typeface="Segoe UI" panose="020B0502040204020203" pitchFamily="34" charset="0"/>
              </a:rPr>
              <a:t>Sales</a:t>
            </a:r>
            <a:r>
              <a:rPr lang="en-US" b="0" baseline="0">
                <a:solidFill>
                  <a:srgbClr val="333333"/>
                </a:solidFill>
                <a:latin typeface="Calibri "/>
                <a:cs typeface="Segoe UI" panose="020B0502040204020203" pitchFamily="34" charset="0"/>
              </a:rPr>
              <a:t> by Country</a:t>
            </a:r>
            <a:endParaRPr lang="en-US" b="0">
              <a:solidFill>
                <a:srgbClr val="333333"/>
              </a:solidFill>
              <a:latin typeface="Calibri "/>
              <a:cs typeface="Segoe UI" panose="020B0502040204020203" pitchFamily="34" charset="0"/>
            </a:endParaRPr>
          </a:p>
        </c:rich>
      </c:tx>
      <c:layout>
        <c:manualLayout>
          <c:xMode val="edge"/>
          <c:yMode val="edge"/>
          <c:x val="0.39469957996780469"/>
          <c:y val="2.55803156449814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33333"/>
              </a:solidFill>
              <a:latin typeface="Calibri "/>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w="25400">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5024"/>
          </a:solidFill>
          <a:ln w="25400">
            <a:solidFill>
              <a:schemeClr val="bg1"/>
            </a:solidFill>
          </a:ln>
          <a:effectLst/>
        </c:spPr>
      </c:pivotFmt>
      <c:pivotFmt>
        <c:idx val="4"/>
        <c:spPr>
          <a:solidFill>
            <a:srgbClr val="00B050"/>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024"/>
          </a:solidFill>
          <a:ln w="38100">
            <a:solidFill>
              <a:schemeClr val="bg1"/>
            </a:solidFill>
          </a:ln>
          <a:effectLst/>
        </c:spPr>
      </c:pivotFmt>
    </c:pivotFmts>
    <c:plotArea>
      <c:layout>
        <c:manualLayout>
          <c:layoutTarget val="inner"/>
          <c:xMode val="edge"/>
          <c:yMode val="edge"/>
          <c:x val="0.28741287085949702"/>
          <c:y val="0.25756944444444446"/>
          <c:w val="0.66211834280208648"/>
          <c:h val="0.66604166666666664"/>
        </c:manualLayout>
      </c:layout>
      <c:barChart>
        <c:barDir val="bar"/>
        <c:grouping val="clustered"/>
        <c:varyColors val="0"/>
        <c:ser>
          <c:idx val="0"/>
          <c:order val="0"/>
          <c:tx>
            <c:strRef>
              <c:f>analysis!$I$4</c:f>
              <c:strCache>
                <c:ptCount val="1"/>
                <c:pt idx="0">
                  <c:v>Total</c:v>
                </c:pt>
              </c:strCache>
            </c:strRef>
          </c:tx>
          <c:spPr>
            <a:solidFill>
              <a:srgbClr val="00B050"/>
            </a:solidFill>
            <a:ln w="38100">
              <a:solidFill>
                <a:schemeClr val="bg1"/>
              </a:solidFill>
            </a:ln>
            <a:effectLst/>
          </c:spPr>
          <c:invertIfNegative val="0"/>
          <c:dPt>
            <c:idx val="0"/>
            <c:invertIfNegative val="0"/>
            <c:bubble3D val="0"/>
            <c:spPr>
              <a:solidFill>
                <a:srgbClr val="005024"/>
              </a:solidFill>
              <a:ln w="38100">
                <a:solidFill>
                  <a:schemeClr val="bg1"/>
                </a:solidFill>
              </a:ln>
              <a:effectLst/>
            </c:spPr>
            <c:extLst>
              <c:ext xmlns:c16="http://schemas.microsoft.com/office/drawing/2014/chart" uri="{C3380CC4-5D6E-409C-BE32-E72D297353CC}">
                <c16:uniqueId val="{00000004-B2AB-4C2F-90F9-DA03E8E99B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analysis!$H$5:$H$7</c:f>
              <c:strCache>
                <c:ptCount val="3"/>
                <c:pt idx="0">
                  <c:v>United States</c:v>
                </c:pt>
                <c:pt idx="1">
                  <c:v>Ireland</c:v>
                </c:pt>
                <c:pt idx="2">
                  <c:v>United Kingdom</c:v>
                </c:pt>
              </c:strCache>
            </c:strRef>
          </c:cat>
          <c:val>
            <c:numRef>
              <c:f>analysis!$I$5:$I$7</c:f>
              <c:numCache>
                <c:formatCode>#,##0</c:formatCode>
                <c:ptCount val="3"/>
                <c:pt idx="0">
                  <c:v>35638.884999999987</c:v>
                </c:pt>
                <c:pt idx="1">
                  <c:v>6696.8649999999998</c:v>
                </c:pt>
                <c:pt idx="2">
                  <c:v>2798.5049999999997</c:v>
                </c:pt>
              </c:numCache>
            </c:numRef>
          </c:val>
          <c:extLst>
            <c:ext xmlns:c16="http://schemas.microsoft.com/office/drawing/2014/chart" uri="{C3380CC4-5D6E-409C-BE32-E72D297353CC}">
              <c16:uniqueId val="{00000002-B2AB-4C2F-90F9-DA03E8E99BA8}"/>
            </c:ext>
          </c:extLst>
        </c:ser>
        <c:dLbls>
          <c:showLegendKey val="0"/>
          <c:showVal val="0"/>
          <c:showCatName val="0"/>
          <c:showSerName val="0"/>
          <c:showPercent val="0"/>
          <c:showBubbleSize val="0"/>
        </c:dLbls>
        <c:gapWidth val="150"/>
        <c:axId val="1927491952"/>
        <c:axId val="1927493392"/>
      </c:barChart>
      <c:catAx>
        <c:axId val="1927491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333333"/>
                </a:solidFill>
                <a:latin typeface="+mn-lt"/>
                <a:ea typeface="+mn-ea"/>
                <a:cs typeface="Segoe UI" panose="020B0502040204020203" pitchFamily="34" charset="0"/>
              </a:defRPr>
            </a:pPr>
            <a:endParaRPr lang="en-US"/>
          </a:p>
        </c:txPr>
        <c:crossAx val="1927493392"/>
        <c:crosses val="autoZero"/>
        <c:auto val="1"/>
        <c:lblAlgn val="ctr"/>
        <c:lblOffset val="100"/>
        <c:noMultiLvlLbl val="0"/>
      </c:catAx>
      <c:valAx>
        <c:axId val="1927493392"/>
        <c:scaling>
          <c:orientation val="minMax"/>
        </c:scaling>
        <c:delete val="1"/>
        <c:axPos val="t"/>
        <c:majorGridlines>
          <c:spPr>
            <a:ln w="9525" cap="flat" cmpd="sng" algn="ctr">
              <a:solidFill>
                <a:schemeClr val="bg1"/>
              </a:solidFill>
              <a:round/>
            </a:ln>
            <a:effectLst/>
          </c:spPr>
        </c:majorGridlines>
        <c:numFmt formatCode="#,##0" sourceLinked="1"/>
        <c:majorTickMark val="none"/>
        <c:minorTickMark val="none"/>
        <c:tickLblPos val="nextTo"/>
        <c:crossAx val="192749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[coffee_order_dashboard.xlsx]analysis!top_customer</c:name>
    <c:fmtId val="3"/>
  </c:pivotSource>
  <c:chart>
    <c:title>
      <c:tx>
        <c:rich>
          <a:bodyPr rot="0" spcFirstLastPara="1" vertOverflow="ellipsis" vert="horz" wrap="square" anchor="ctr" anchorCtr="1"/>
          <a:lstStyle/>
          <a:p>
            <a:pPr>
              <a:defRPr lang="en-US" sz="1400" b="0" i="0" u="none" strike="noStrike" kern="1200" spc="0" baseline="0">
                <a:solidFill>
                  <a:srgbClr val="333333"/>
                </a:solidFill>
                <a:latin typeface="+mn-lt"/>
                <a:ea typeface="+mn-ea"/>
                <a:cs typeface="Segoe UI" panose="020B0502040204020203" pitchFamily="34" charset="0"/>
              </a:defRPr>
            </a:pPr>
            <a:r>
              <a:rPr lang="en-US" sz="1400">
                <a:solidFill>
                  <a:srgbClr val="333333"/>
                </a:solidFill>
                <a:latin typeface="+mn-lt"/>
                <a:cs typeface="Segoe UI" panose="020B0502040204020203" pitchFamily="34" charset="0"/>
              </a:rPr>
              <a:t>Top 5 Customers</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rgbClr val="333333"/>
              </a:solidFill>
              <a:latin typeface="+mn-lt"/>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1316822576665"/>
          <c:y val="0.24433465085638997"/>
          <c:w val="0.64959935815678438"/>
          <c:h val="0.68320158102766804"/>
        </c:manualLayout>
      </c:layout>
      <c:barChart>
        <c:barDir val="bar"/>
        <c:grouping val="clustered"/>
        <c:varyColors val="0"/>
        <c:ser>
          <c:idx val="0"/>
          <c:order val="0"/>
          <c:tx>
            <c:strRef>
              <c:f>analysis!$M$4</c:f>
              <c:strCache>
                <c:ptCount val="1"/>
                <c:pt idx="0">
                  <c:v>Total</c:v>
                </c:pt>
              </c:strCache>
            </c:strRef>
          </c:tx>
          <c:spPr>
            <a:solidFill>
              <a:srgbClr val="00B050"/>
            </a:solidFill>
            <a:ln w="381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analysis!$L$5:$L$9</c:f>
              <c:strCache>
                <c:ptCount val="5"/>
                <c:pt idx="0">
                  <c:v>Allis Wilmore</c:v>
                </c:pt>
                <c:pt idx="1">
                  <c:v>Brenn Dundredge</c:v>
                </c:pt>
                <c:pt idx="2">
                  <c:v>Terri Farra</c:v>
                </c:pt>
                <c:pt idx="3">
                  <c:v>Nealson Cuttler</c:v>
                </c:pt>
                <c:pt idx="4">
                  <c:v>Don Flintiff</c:v>
                </c:pt>
              </c:strCache>
            </c:strRef>
          </c:cat>
          <c:val>
            <c:numRef>
              <c:f>analysis!$M$5:$M$9</c:f>
              <c:numCache>
                <c:formatCode>#,##0</c:formatCode>
                <c:ptCount val="5"/>
                <c:pt idx="0">
                  <c:v>317.06999999999994</c:v>
                </c:pt>
                <c:pt idx="1">
                  <c:v>307.04499999999996</c:v>
                </c:pt>
                <c:pt idx="2">
                  <c:v>289.10999999999996</c:v>
                </c:pt>
                <c:pt idx="3">
                  <c:v>281.67500000000001</c:v>
                </c:pt>
                <c:pt idx="4">
                  <c:v>278.01</c:v>
                </c:pt>
              </c:numCache>
            </c:numRef>
          </c:val>
          <c:extLst>
            <c:ext xmlns:c16="http://schemas.microsoft.com/office/drawing/2014/chart" uri="{C3380CC4-5D6E-409C-BE32-E72D297353CC}">
              <c16:uniqueId val="{00000000-775A-4798-8B00-47B9C95C7095}"/>
            </c:ext>
          </c:extLst>
        </c:ser>
        <c:dLbls>
          <c:showLegendKey val="0"/>
          <c:showVal val="0"/>
          <c:showCatName val="0"/>
          <c:showSerName val="0"/>
          <c:showPercent val="0"/>
          <c:showBubbleSize val="0"/>
        </c:dLbls>
        <c:gapWidth val="150"/>
        <c:axId val="1931669696"/>
        <c:axId val="1697527168"/>
      </c:barChart>
      <c:catAx>
        <c:axId val="19316696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33333"/>
                </a:solidFill>
                <a:latin typeface="+mn-lt"/>
                <a:ea typeface="+mn-ea"/>
                <a:cs typeface="Segoe UI" panose="020B0502040204020203" pitchFamily="34" charset="0"/>
              </a:defRPr>
            </a:pPr>
            <a:endParaRPr lang="en-US"/>
          </a:p>
        </c:txPr>
        <c:crossAx val="1697527168"/>
        <c:crosses val="autoZero"/>
        <c:auto val="1"/>
        <c:lblAlgn val="ctr"/>
        <c:lblOffset val="100"/>
        <c:noMultiLvlLbl val="0"/>
      </c:catAx>
      <c:valAx>
        <c:axId val="1697527168"/>
        <c:scaling>
          <c:orientation val="minMax"/>
        </c:scaling>
        <c:delete val="1"/>
        <c:axPos val="t"/>
        <c:majorGridlines>
          <c:spPr>
            <a:ln w="9525" cap="flat" cmpd="sng" algn="ctr">
              <a:solidFill>
                <a:schemeClr val="bg1"/>
              </a:solidFill>
              <a:round/>
            </a:ln>
            <a:effectLst/>
          </c:spPr>
        </c:majorGridlines>
        <c:numFmt formatCode="#,##0" sourceLinked="1"/>
        <c:majorTickMark val="none"/>
        <c:minorTickMark val="none"/>
        <c:tickLblPos val="nextTo"/>
        <c:crossAx val="193166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[coffee_order_dashboard.xlsx]analysis!monthly_sales</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49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bg2">
                <a:lumMod val="9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97450D"/>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FFFF00"/>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FF0000"/>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marker>
          <c:spPr>
            <a:solidFill>
              <a:srgbClr val="000000"/>
            </a:solidFill>
            <a:ln w="9525">
              <a:solidFill>
                <a:schemeClr val="accent1"/>
              </a:solidFill>
            </a:ln>
            <a:effectLst/>
          </c:spPr>
        </c:marker>
      </c:pivotFmt>
      <c:pivotFmt>
        <c:idx val="2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66529727262354E-2"/>
          <c:y val="0.20914035408452192"/>
          <c:w val="0.90582220700673288"/>
          <c:h val="0.607353783381818"/>
        </c:manualLayout>
      </c:layout>
      <c:lineChart>
        <c:grouping val="standard"/>
        <c:varyColors val="0"/>
        <c:ser>
          <c:idx val="0"/>
          <c:order val="0"/>
          <c:tx>
            <c:strRef>
              <c:f>analysis!$C$4:$C$5</c:f>
              <c:strCache>
                <c:ptCount val="1"/>
                <c:pt idx="0">
                  <c:v>Arabica</c:v>
                </c:pt>
              </c:strCache>
            </c:strRef>
          </c:tx>
          <c:spPr>
            <a:ln w="28575" cap="rnd">
              <a:solidFill>
                <a:srgbClr val="00B0F0"/>
              </a:solidFill>
              <a:round/>
            </a:ln>
            <a:effectLst/>
          </c:spPr>
          <c:marker>
            <c:symbol val="none"/>
          </c:marker>
          <c:cat>
            <c:multiLvlStrRef>
              <c:f>analysis!$B$6:$B$53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analysis!$C$6:$C$53</c:f>
              <c:numCache>
                <c:formatCode>#,##0</c:formatCode>
                <c:ptCount val="44"/>
                <c:pt idx="0">
                  <c:v>186.85499999999999</c:v>
                </c:pt>
                <c:pt idx="1">
                  <c:v>251.965</c:v>
                </c:pt>
                <c:pt idx="2">
                  <c:v>224.94499999999999</c:v>
                </c:pt>
                <c:pt idx="3">
                  <c:v>307.12</c:v>
                </c:pt>
                <c:pt idx="4">
                  <c:v>53.664999999999992</c:v>
                </c:pt>
                <c:pt idx="5">
                  <c:v>163.01999999999998</c:v>
                </c:pt>
                <c:pt idx="6">
                  <c:v>345.02</c:v>
                </c:pt>
                <c:pt idx="7">
                  <c:v>334.89</c:v>
                </c:pt>
                <c:pt idx="8">
                  <c:v>178.70999999999998</c:v>
                </c:pt>
                <c:pt idx="9">
                  <c:v>301.98499999999996</c:v>
                </c:pt>
                <c:pt idx="10">
                  <c:v>312.83500000000004</c:v>
                </c:pt>
                <c:pt idx="11">
                  <c:v>265.62</c:v>
                </c:pt>
                <c:pt idx="12">
                  <c:v>47.25</c:v>
                </c:pt>
                <c:pt idx="13">
                  <c:v>745.45</c:v>
                </c:pt>
                <c:pt idx="14">
                  <c:v>130.47</c:v>
                </c:pt>
                <c:pt idx="15">
                  <c:v>27</c:v>
                </c:pt>
                <c:pt idx="16">
                  <c:v>255.11499999999995</c:v>
                </c:pt>
                <c:pt idx="17">
                  <c:v>584.78999999999985</c:v>
                </c:pt>
                <c:pt idx="18">
                  <c:v>430.61999999999995</c:v>
                </c:pt>
                <c:pt idx="19">
                  <c:v>22.5</c:v>
                </c:pt>
                <c:pt idx="20">
                  <c:v>126.14999999999999</c:v>
                </c:pt>
                <c:pt idx="21">
                  <c:v>376.03</c:v>
                </c:pt>
                <c:pt idx="22">
                  <c:v>515.17999999999995</c:v>
                </c:pt>
                <c:pt idx="23">
                  <c:v>95.86</c:v>
                </c:pt>
                <c:pt idx="24">
                  <c:v>258.34500000000003</c:v>
                </c:pt>
                <c:pt idx="25">
                  <c:v>342.20000000000005</c:v>
                </c:pt>
                <c:pt idx="26">
                  <c:v>418.30500000000001</c:v>
                </c:pt>
                <c:pt idx="27">
                  <c:v>102.33</c:v>
                </c:pt>
                <c:pt idx="28">
                  <c:v>234.71999999999997</c:v>
                </c:pt>
                <c:pt idx="29">
                  <c:v>430.38999999999993</c:v>
                </c:pt>
                <c:pt idx="30">
                  <c:v>109.005</c:v>
                </c:pt>
                <c:pt idx="31">
                  <c:v>287.52499999999998</c:v>
                </c:pt>
                <c:pt idx="32">
                  <c:v>840.92999999999984</c:v>
                </c:pt>
                <c:pt idx="33">
                  <c:v>299.06999999999994</c:v>
                </c:pt>
                <c:pt idx="34">
                  <c:v>323.32499999999999</c:v>
                </c:pt>
                <c:pt idx="35">
                  <c:v>399.48499999999996</c:v>
                </c:pt>
                <c:pt idx="36">
                  <c:v>112.69499999999999</c:v>
                </c:pt>
                <c:pt idx="37">
                  <c:v>114.87999999999998</c:v>
                </c:pt>
                <c:pt idx="38">
                  <c:v>277.76</c:v>
                </c:pt>
                <c:pt idx="39">
                  <c:v>197.89500000000001</c:v>
                </c:pt>
                <c:pt idx="40">
                  <c:v>193.11499999999998</c:v>
                </c:pt>
                <c:pt idx="41">
                  <c:v>179.79</c:v>
                </c:pt>
                <c:pt idx="42">
                  <c:v>247.29</c:v>
                </c:pt>
                <c:pt idx="43">
                  <c:v>116.39499999999998</c:v>
                </c:pt>
              </c:numCache>
            </c:numRef>
          </c:val>
          <c:smooth val="0"/>
          <c:extLst>
            <c:ext xmlns:c16="http://schemas.microsoft.com/office/drawing/2014/chart" uri="{C3380CC4-5D6E-409C-BE32-E72D297353CC}">
              <c16:uniqueId val="{00000000-E5A0-4749-B8C3-D5DBC28E5608}"/>
            </c:ext>
          </c:extLst>
        </c:ser>
        <c:ser>
          <c:idx val="1"/>
          <c:order val="1"/>
          <c:tx>
            <c:strRef>
              <c:f>analysis!$D$4:$D$5</c:f>
              <c:strCache>
                <c:ptCount val="1"/>
                <c:pt idx="0">
                  <c:v>Excelsa</c:v>
                </c:pt>
              </c:strCache>
            </c:strRef>
          </c:tx>
          <c:spPr>
            <a:ln w="28575" cap="rnd">
              <a:solidFill>
                <a:srgbClr val="97450D"/>
              </a:solidFill>
              <a:round/>
            </a:ln>
            <a:effectLst/>
          </c:spPr>
          <c:marker>
            <c:symbol val="none"/>
          </c:marker>
          <c:cat>
            <c:multiLvlStrRef>
              <c:f>analysis!$B$6:$B$53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analysis!$D$6:$D$53</c:f>
              <c:numCache>
                <c:formatCode>#,##0</c:formatCode>
                <c:ptCount val="44"/>
                <c:pt idx="0">
                  <c:v>305.96999999999997</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428.88499999999993</c:v>
                </c:pt>
                <c:pt idx="14">
                  <c:v>271.48500000000007</c:v>
                </c:pt>
                <c:pt idx="15">
                  <c:v>347.25999999999993</c:v>
                </c:pt>
                <c:pt idx="16">
                  <c:v>541.73</c:v>
                </c:pt>
                <c:pt idx="17">
                  <c:v>357.42999999999995</c:v>
                </c:pt>
                <c:pt idx="18">
                  <c:v>227.42500000000001</c:v>
                </c:pt>
                <c:pt idx="19">
                  <c:v>77.72</c:v>
                </c:pt>
                <c:pt idx="20">
                  <c:v>195.11</c:v>
                </c:pt>
                <c:pt idx="21">
                  <c:v>523.24</c:v>
                </c:pt>
                <c:pt idx="22">
                  <c:v>142.56</c:v>
                </c:pt>
                <c:pt idx="23">
                  <c:v>484.76</c:v>
                </c:pt>
                <c:pt idx="24">
                  <c:v>139.625</c:v>
                </c:pt>
                <c:pt idx="25">
                  <c:v>284.25</c:v>
                </c:pt>
                <c:pt idx="26">
                  <c:v>468.125</c:v>
                </c:pt>
                <c:pt idx="27">
                  <c:v>242.14000000000001</c:v>
                </c:pt>
                <c:pt idx="28">
                  <c:v>133.08000000000001</c:v>
                </c:pt>
                <c:pt idx="29">
                  <c:v>136.20500000000001</c:v>
                </c:pt>
                <c:pt idx="30">
                  <c:v>393.57499999999999</c:v>
                </c:pt>
                <c:pt idx="31">
                  <c:v>288.67</c:v>
                </c:pt>
                <c:pt idx="32">
                  <c:v>409.87500000000006</c:v>
                </c:pt>
                <c:pt idx="33">
                  <c:v>260.32499999999999</c:v>
                </c:pt>
                <c:pt idx="34">
                  <c:v>565.57000000000005</c:v>
                </c:pt>
                <c:pt idx="35">
                  <c:v>148.20000000000002</c:v>
                </c:pt>
                <c:pt idx="36">
                  <c:v>166.32000000000002</c:v>
                </c:pt>
                <c:pt idx="37">
                  <c:v>133.815</c:v>
                </c:pt>
                <c:pt idx="38">
                  <c:v>175.41</c:v>
                </c:pt>
                <c:pt idx="39">
                  <c:v>289.755</c:v>
                </c:pt>
                <c:pt idx="40">
                  <c:v>212.495</c:v>
                </c:pt>
                <c:pt idx="41">
                  <c:v>426.2</c:v>
                </c:pt>
                <c:pt idx="42">
                  <c:v>246.68499999999997</c:v>
                </c:pt>
                <c:pt idx="43">
                  <c:v>41.25</c:v>
                </c:pt>
              </c:numCache>
            </c:numRef>
          </c:val>
          <c:smooth val="0"/>
          <c:extLst>
            <c:ext xmlns:c16="http://schemas.microsoft.com/office/drawing/2014/chart" uri="{C3380CC4-5D6E-409C-BE32-E72D297353CC}">
              <c16:uniqueId val="{00000001-E5A0-4749-B8C3-D5DBC28E5608}"/>
            </c:ext>
          </c:extLst>
        </c:ser>
        <c:ser>
          <c:idx val="2"/>
          <c:order val="2"/>
          <c:tx>
            <c:strRef>
              <c:f>analysis!$E$4:$E$5</c:f>
              <c:strCache>
                <c:ptCount val="1"/>
                <c:pt idx="0">
                  <c:v>Liberica</c:v>
                </c:pt>
              </c:strCache>
            </c:strRef>
          </c:tx>
          <c:spPr>
            <a:ln w="28575" cap="rnd">
              <a:solidFill>
                <a:srgbClr val="FFFF00"/>
              </a:solidFill>
              <a:round/>
            </a:ln>
            <a:effectLst/>
          </c:spPr>
          <c:marker>
            <c:symbol val="none"/>
          </c:marker>
          <c:cat>
            <c:multiLvlStrRef>
              <c:f>analysis!$B$6:$B$53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analysis!$E$6:$E$53</c:f>
              <c:numCache>
                <c:formatCode>#,##0</c:formatCode>
                <c:ptCount val="44"/>
                <c:pt idx="0">
                  <c:v>213.15999999999997</c:v>
                </c:pt>
                <c:pt idx="1">
                  <c:v>434.03999999999991</c:v>
                </c:pt>
                <c:pt idx="2">
                  <c:v>321.04000000000002</c:v>
                </c:pt>
                <c:pt idx="3">
                  <c:v>533.70499999999993</c:v>
                </c:pt>
                <c:pt idx="4">
                  <c:v>193.83499999999998</c:v>
                </c:pt>
                <c:pt idx="5">
                  <c:v>171.04500000000002</c:v>
                </c:pt>
                <c:pt idx="6">
                  <c:v>184.13</c:v>
                </c:pt>
                <c:pt idx="7">
                  <c:v>134.23000000000002</c:v>
                </c:pt>
                <c:pt idx="8">
                  <c:v>439.30999999999995</c:v>
                </c:pt>
                <c:pt idx="9">
                  <c:v>215.55499999999998</c:v>
                </c:pt>
                <c:pt idx="10">
                  <c:v>350.89499999999992</c:v>
                </c:pt>
                <c:pt idx="11">
                  <c:v>187.06</c:v>
                </c:pt>
                <c:pt idx="12">
                  <c:v>274.67500000000001</c:v>
                </c:pt>
                <c:pt idx="13">
                  <c:v>194.17500000000001</c:v>
                </c:pt>
                <c:pt idx="14">
                  <c:v>281.20499999999993</c:v>
                </c:pt>
                <c:pt idx="15">
                  <c:v>147.51000000000002</c:v>
                </c:pt>
                <c:pt idx="16">
                  <c:v>83.43</c:v>
                </c:pt>
                <c:pt idx="17">
                  <c:v>355.33999999999992</c:v>
                </c:pt>
                <c:pt idx="18">
                  <c:v>236.315</c:v>
                </c:pt>
                <c:pt idx="19">
                  <c:v>60.5</c:v>
                </c:pt>
                <c:pt idx="20">
                  <c:v>89.13</c:v>
                </c:pt>
                <c:pt idx="21">
                  <c:v>440.96499999999992</c:v>
                </c:pt>
                <c:pt idx="22">
                  <c:v>347.03999999999996</c:v>
                </c:pt>
                <c:pt idx="23">
                  <c:v>94.17</c:v>
                </c:pt>
                <c:pt idx="24">
                  <c:v>279.52</c:v>
                </c:pt>
                <c:pt idx="25">
                  <c:v>251.83</c:v>
                </c:pt>
                <c:pt idx="26">
                  <c:v>405.05499999999995</c:v>
                </c:pt>
                <c:pt idx="27">
                  <c:v>554.87499999999989</c:v>
                </c:pt>
                <c:pt idx="28">
                  <c:v>267.2</c:v>
                </c:pt>
                <c:pt idx="29">
                  <c:v>209.59999999999997</c:v>
                </c:pt>
                <c:pt idx="30">
                  <c:v>61.035000000000004</c:v>
                </c:pt>
                <c:pt idx="31">
                  <c:v>125.58</c:v>
                </c:pt>
                <c:pt idx="32">
                  <c:v>171.33</c:v>
                </c:pt>
                <c:pt idx="33">
                  <c:v>584.63999999999987</c:v>
                </c:pt>
                <c:pt idx="34">
                  <c:v>537.80999999999995</c:v>
                </c:pt>
                <c:pt idx="35">
                  <c:v>388.21999999999991</c:v>
                </c:pt>
                <c:pt idx="36">
                  <c:v>843.71499999999992</c:v>
                </c:pt>
                <c:pt idx="37">
                  <c:v>91.175000000000011</c:v>
                </c:pt>
                <c:pt idx="38">
                  <c:v>462.51</c:v>
                </c:pt>
                <c:pt idx="39">
                  <c:v>88.544999999999987</c:v>
                </c:pt>
                <c:pt idx="40">
                  <c:v>292.28999999999996</c:v>
                </c:pt>
                <c:pt idx="41">
                  <c:v>170.08999999999997</c:v>
                </c:pt>
                <c:pt idx="42">
                  <c:v>271.05499999999995</c:v>
                </c:pt>
                <c:pt idx="43">
                  <c:v>15.54</c:v>
                </c:pt>
              </c:numCache>
            </c:numRef>
          </c:val>
          <c:smooth val="0"/>
          <c:extLst>
            <c:ext xmlns:c16="http://schemas.microsoft.com/office/drawing/2014/chart" uri="{C3380CC4-5D6E-409C-BE32-E72D297353CC}">
              <c16:uniqueId val="{00000002-E5A0-4749-B8C3-D5DBC28E5608}"/>
            </c:ext>
          </c:extLst>
        </c:ser>
        <c:ser>
          <c:idx val="3"/>
          <c:order val="3"/>
          <c:tx>
            <c:strRef>
              <c:f>analysis!$F$4:$F$5</c:f>
              <c:strCache>
                <c:ptCount val="1"/>
                <c:pt idx="0">
                  <c:v>Robusta</c:v>
                </c:pt>
              </c:strCache>
            </c:strRef>
          </c:tx>
          <c:spPr>
            <a:ln w="28575" cap="rnd">
              <a:solidFill>
                <a:srgbClr val="FF0000"/>
              </a:solidFill>
              <a:round/>
            </a:ln>
            <a:effectLst/>
          </c:spPr>
          <c:marker>
            <c:symbol val="none"/>
          </c:marker>
          <c:cat>
            <c:multiLvlStrRef>
              <c:f>analysis!$B$6:$B$53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analysis!$F$6:$F$53</c:f>
              <c:numCache>
                <c:formatCode>#,##0</c:formatCode>
                <c:ptCount val="44"/>
                <c:pt idx="0">
                  <c:v>123</c:v>
                </c:pt>
                <c:pt idx="1">
                  <c:v>171.93999999999997</c:v>
                </c:pt>
                <c:pt idx="2">
                  <c:v>126.03499999999998</c:v>
                </c:pt>
                <c:pt idx="3">
                  <c:v>158.85</c:v>
                </c:pt>
                <c:pt idx="4">
                  <c:v>68.039999999999992</c:v>
                </c:pt>
                <c:pt idx="5">
                  <c:v>372.25499999999994</c:v>
                </c:pt>
                <c:pt idx="6">
                  <c:v>201.11499999999998</c:v>
                </c:pt>
                <c:pt idx="7">
                  <c:v>166.27499999999998</c:v>
                </c:pt>
                <c:pt idx="8">
                  <c:v>492.90000000000003</c:v>
                </c:pt>
                <c:pt idx="9">
                  <c:v>213.66499999999999</c:v>
                </c:pt>
                <c:pt idx="10">
                  <c:v>96.404999999999987</c:v>
                </c:pt>
                <c:pt idx="11">
                  <c:v>210.59</c:v>
                </c:pt>
                <c:pt idx="12">
                  <c:v>179.22</c:v>
                </c:pt>
                <c:pt idx="13">
                  <c:v>429.82999999999993</c:v>
                </c:pt>
                <c:pt idx="14">
                  <c:v>231.63</c:v>
                </c:pt>
                <c:pt idx="15">
                  <c:v>240.03999999999996</c:v>
                </c:pt>
                <c:pt idx="16">
                  <c:v>59.079999999999991</c:v>
                </c:pt>
                <c:pt idx="17">
                  <c:v>140.87999999999997</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272.69</c:v>
                </c:pt>
                <c:pt idx="29">
                  <c:v>88.334999999999994</c:v>
                </c:pt>
                <c:pt idx="30">
                  <c:v>199.48999999999998</c:v>
                </c:pt>
                <c:pt idx="31">
                  <c:v>374.13499999999999</c:v>
                </c:pt>
                <c:pt idx="32">
                  <c:v>221.43999999999997</c:v>
                </c:pt>
                <c:pt idx="33">
                  <c:v>256.36500000000001</c:v>
                </c:pt>
                <c:pt idx="34">
                  <c:v>189.47499999999999</c:v>
                </c:pt>
                <c:pt idx="35">
                  <c:v>212.07499999999999</c:v>
                </c:pt>
                <c:pt idx="36">
                  <c:v>146.68499999999997</c:v>
                </c:pt>
                <c:pt idx="37">
                  <c:v>53.759999999999991</c:v>
                </c:pt>
                <c:pt idx="38">
                  <c:v>399.52499999999998</c:v>
                </c:pt>
                <c:pt idx="39">
                  <c:v>200.25499999999997</c:v>
                </c:pt>
                <c:pt idx="40">
                  <c:v>304.47000000000003</c:v>
                </c:pt>
                <c:pt idx="41">
                  <c:v>379.31</c:v>
                </c:pt>
                <c:pt idx="42">
                  <c:v>141.69999999999999</c:v>
                </c:pt>
                <c:pt idx="43">
                  <c:v>71.06</c:v>
                </c:pt>
              </c:numCache>
            </c:numRef>
          </c:val>
          <c:smooth val="0"/>
          <c:extLst>
            <c:ext xmlns:c16="http://schemas.microsoft.com/office/drawing/2014/chart" uri="{C3380CC4-5D6E-409C-BE32-E72D297353CC}">
              <c16:uniqueId val="{00000003-E5A0-4749-B8C3-D5DBC28E5608}"/>
            </c:ext>
          </c:extLst>
        </c:ser>
        <c:dLbls>
          <c:showLegendKey val="0"/>
          <c:showVal val="0"/>
          <c:showCatName val="0"/>
          <c:showSerName val="0"/>
          <c:showPercent val="0"/>
          <c:showBubbleSize val="0"/>
        </c:dLbls>
        <c:smooth val="0"/>
        <c:axId val="1706266048"/>
        <c:axId val="1706268448"/>
      </c:lineChart>
      <c:catAx>
        <c:axId val="17062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Segoe UI" panose="020B0502040204020203" pitchFamily="34" charset="0"/>
              </a:defRPr>
            </a:pPr>
            <a:endParaRPr lang="en-US"/>
          </a:p>
        </c:txPr>
        <c:crossAx val="1706268448"/>
        <c:crosses val="autoZero"/>
        <c:auto val="1"/>
        <c:lblAlgn val="ctr"/>
        <c:lblOffset val="100"/>
        <c:noMultiLvlLbl val="0"/>
      </c:catAx>
      <c:valAx>
        <c:axId val="1706268448"/>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1706266048"/>
        <c:crosses val="autoZero"/>
        <c:crossBetween val="between"/>
      </c:valAx>
      <c:spPr>
        <a:noFill/>
        <a:ln>
          <a:noFill/>
        </a:ln>
        <a:effectLst/>
      </c:spPr>
    </c:plotArea>
    <c:legend>
      <c:legendPos val="t"/>
      <c:layout>
        <c:manualLayout>
          <c:xMode val="edge"/>
          <c:yMode val="edge"/>
          <c:x val="0.60368652027603265"/>
          <c:y val="0.11689376639964927"/>
          <c:w val="0.38517402986096083"/>
          <c:h val="5.4134805573372385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333333"/>
              </a:solidFill>
              <a:latin typeface="+mn-lt"/>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381001</xdr:colOff>
      <xdr:row>14</xdr:row>
      <xdr:rowOff>28933</xdr:rowOff>
    </xdr:from>
    <xdr:to>
      <xdr:col>23</xdr:col>
      <xdr:colOff>19051</xdr:colOff>
      <xdr:row>24</xdr:row>
      <xdr:rowOff>182177</xdr:rowOff>
    </xdr:to>
    <xdr:graphicFrame macro="">
      <xdr:nvGraphicFramePr>
        <xdr:cNvPr id="3" name="Chart 2">
          <a:extLst>
            <a:ext uri="{FF2B5EF4-FFF2-40B4-BE49-F238E27FC236}">
              <a16:creationId xmlns:a16="http://schemas.microsoft.com/office/drawing/2014/main" id="{C9EAF9B7-B325-47BC-A690-9FBEF441F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390525</xdr:colOff>
      <xdr:row>25</xdr:row>
      <xdr:rowOff>84637</xdr:rowOff>
    </xdr:from>
    <xdr:to>
      <xdr:col>23</xdr:col>
      <xdr:colOff>19050</xdr:colOff>
      <xdr:row>37</xdr:row>
      <xdr:rowOff>50347</xdr:rowOff>
    </xdr:to>
    <xdr:graphicFrame macro="">
      <xdr:nvGraphicFramePr>
        <xdr:cNvPr id="4" name="Chart 3">
          <a:extLst>
            <a:ext uri="{FF2B5EF4-FFF2-40B4-BE49-F238E27FC236}">
              <a16:creationId xmlns:a16="http://schemas.microsoft.com/office/drawing/2014/main" id="{80EEA0CE-4EFF-4E12-AC2D-01A7D1749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14</xdr:row>
      <xdr:rowOff>28932</xdr:rowOff>
    </xdr:from>
    <xdr:to>
      <xdr:col>15</xdr:col>
      <xdr:colOff>238125</xdr:colOff>
      <xdr:row>37</xdr:row>
      <xdr:rowOff>56062</xdr:rowOff>
    </xdr:to>
    <xdr:graphicFrame macro="">
      <xdr:nvGraphicFramePr>
        <xdr:cNvPr id="5" name="Chart 4">
          <a:extLst>
            <a:ext uri="{FF2B5EF4-FFF2-40B4-BE49-F238E27FC236}">
              <a16:creationId xmlns:a16="http://schemas.microsoft.com/office/drawing/2014/main" id="{84A8E02A-E434-48B5-AB32-D006EB329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0</xdr:row>
      <xdr:rowOff>114300</xdr:rowOff>
    </xdr:from>
    <xdr:to>
      <xdr:col>23</xdr:col>
      <xdr:colOff>19050</xdr:colOff>
      <xdr:row>4</xdr:row>
      <xdr:rowOff>19291</xdr:rowOff>
    </xdr:to>
    <xdr:sp macro="" textlink="">
      <xdr:nvSpPr>
        <xdr:cNvPr id="10" name="Rectangle 9">
          <a:extLst>
            <a:ext uri="{FF2B5EF4-FFF2-40B4-BE49-F238E27FC236}">
              <a16:creationId xmlns:a16="http://schemas.microsoft.com/office/drawing/2014/main" id="{21E45169-1E0B-50CD-443E-C71B0589026F}"/>
            </a:ext>
          </a:extLst>
        </xdr:cNvPr>
        <xdr:cNvSpPr/>
      </xdr:nvSpPr>
      <xdr:spPr>
        <a:xfrm>
          <a:off x="337595" y="114300"/>
          <a:ext cx="13387809" cy="638054"/>
        </a:xfrm>
        <a:prstGeom prst="rect">
          <a:avLst/>
        </a:prstGeom>
        <a:solidFill>
          <a:srgbClr val="3C14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b="1">
              <a:solidFill>
                <a:schemeClr val="lt1"/>
              </a:solidFill>
              <a:effectLst/>
              <a:latin typeface="+mn-lt"/>
              <a:ea typeface="+mn-ea"/>
              <a:cs typeface="Segoe UI" panose="020B0502040204020203" pitchFamily="34" charset="0"/>
            </a:rPr>
            <a:t>COFFEE SALES DASHBOARD</a:t>
          </a:r>
          <a:endParaRPr lang="en-US" sz="9600" b="1">
            <a:effectLst/>
            <a:latin typeface="+mn-lt"/>
            <a:cs typeface="Segoe UI" panose="020B0502040204020203" pitchFamily="34" charset="0"/>
          </a:endParaRPr>
        </a:p>
      </xdr:txBody>
    </xdr:sp>
    <xdr:clientData/>
  </xdr:twoCellAnchor>
  <xdr:twoCellAnchor editAs="oneCell">
    <xdr:from>
      <xdr:col>0</xdr:col>
      <xdr:colOff>333374</xdr:colOff>
      <xdr:row>4</xdr:row>
      <xdr:rowOff>113452</xdr:rowOff>
    </xdr:from>
    <xdr:to>
      <xdr:col>16</xdr:col>
      <xdr:colOff>400050</xdr:colOff>
      <xdr:row>13</xdr:row>
      <xdr:rowOff>65828</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1B964E40-BECB-409D-895D-FB330D035993}"/>
                </a:ext>
              </a:extLst>
            </xdr:cNvPr>
            <xdr:cNvGraphicFramePr>
              <a:graphicFrameLocks noChangeAspect="1"/>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333374" y="846515"/>
              <a:ext cx="9519334" cy="160176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514350</xdr:colOff>
      <xdr:row>4</xdr:row>
      <xdr:rowOff>115745</xdr:rowOff>
    </xdr:from>
    <xdr:to>
      <xdr:col>23</xdr:col>
      <xdr:colOff>19049</xdr:colOff>
      <xdr:row>8</xdr:row>
      <xdr:rowOff>8678</xdr:rowOff>
    </xdr:to>
    <mc:AlternateContent xmlns:mc="http://schemas.openxmlformats.org/markup-compatibility/2006" xmlns:a14="http://schemas.microsoft.com/office/drawing/2010/main">
      <mc:Choice Requires="a14">
        <xdr:graphicFrame macro="">
          <xdr:nvGraphicFramePr>
            <xdr:cNvPr id="11" name="Roast Type">
              <a:extLst>
                <a:ext uri="{FF2B5EF4-FFF2-40B4-BE49-F238E27FC236}">
                  <a16:creationId xmlns:a16="http://schemas.microsoft.com/office/drawing/2014/main" id="{3C0B292C-5C5E-4272-966C-26C7571CB1D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9967008" y="848808"/>
              <a:ext cx="3758395" cy="625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527685</xdr:colOff>
      <xdr:row>8</xdr:row>
      <xdr:rowOff>65829</xdr:rowOff>
    </xdr:from>
    <xdr:to>
      <xdr:col>19</xdr:col>
      <xdr:colOff>527685</xdr:colOff>
      <xdr:row>13</xdr:row>
      <xdr:rowOff>84878</xdr:rowOff>
    </xdr:to>
    <mc:AlternateContent xmlns:mc="http://schemas.openxmlformats.org/markup-compatibility/2006" xmlns:a14="http://schemas.microsoft.com/office/drawing/2010/main">
      <mc:Choice Requires="a14">
        <xdr:graphicFrame macro="">
          <xdr:nvGraphicFramePr>
            <xdr:cNvPr id="12" name="Size">
              <a:extLst>
                <a:ext uri="{FF2B5EF4-FFF2-40B4-BE49-F238E27FC236}">
                  <a16:creationId xmlns:a16="http://schemas.microsoft.com/office/drawing/2014/main" id="{C3E415BF-579C-471F-881E-1EF0BAA0403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980343" y="1531956"/>
              <a:ext cx="1823013" cy="935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28575</xdr:colOff>
      <xdr:row>8</xdr:row>
      <xdr:rowOff>52494</xdr:rowOff>
    </xdr:from>
    <xdr:to>
      <xdr:col>23</xdr:col>
      <xdr:colOff>28575</xdr:colOff>
      <xdr:row>13</xdr:row>
      <xdr:rowOff>65828</xdr:rowOff>
    </xdr:to>
    <mc:AlternateContent xmlns:mc="http://schemas.openxmlformats.org/markup-compatibility/2006" xmlns:a14="http://schemas.microsoft.com/office/drawing/2010/main">
      <mc:Choice Requires="a14">
        <xdr:graphicFrame macro="">
          <xdr:nvGraphicFramePr>
            <xdr:cNvPr id="13" name="Loyalty Card">
              <a:extLst>
                <a:ext uri="{FF2B5EF4-FFF2-40B4-BE49-F238E27FC236}">
                  <a16:creationId xmlns:a16="http://schemas.microsoft.com/office/drawing/2014/main" id="{03669290-10F7-4FBF-96DB-92A00E7C525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911917" y="1518621"/>
              <a:ext cx="1823012" cy="929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0.37622</cdr:x>
      <cdr:y>0.01385</cdr:y>
    </cdr:from>
    <cdr:to>
      <cdr:x>0.624</cdr:x>
      <cdr:y>0.12009</cdr:y>
    </cdr:to>
    <cdr:sp macro="" textlink="">
      <cdr:nvSpPr>
        <cdr:cNvPr id="2" name="TextBox 1">
          <a:extLst xmlns:a="http://schemas.openxmlformats.org/drawingml/2006/main">
            <a:ext uri="{FF2B5EF4-FFF2-40B4-BE49-F238E27FC236}">
              <a16:creationId xmlns:a16="http://schemas.microsoft.com/office/drawing/2014/main" id="{FD37B49F-C326-D1EA-FD0F-4E3706C5C2AF}"/>
            </a:ext>
          </a:extLst>
        </cdr:cNvPr>
        <cdr:cNvSpPr txBox="1"/>
      </cdr:nvSpPr>
      <cdr:spPr>
        <a:xfrm xmlns:a="http://schemas.openxmlformats.org/drawingml/2006/main">
          <a:off x="3297518" y="57133"/>
          <a:ext cx="2171768" cy="43816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kern="1200">
              <a:solidFill>
                <a:srgbClr val="333333"/>
              </a:solidFill>
              <a:latin typeface="+mn-lt"/>
              <a:cs typeface="Segoe UI" panose="020B0502040204020203" pitchFamily="34" charset="0"/>
            </a:rPr>
            <a:t>Total Sales Over Time</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 Ko Aung" refreshedDate="45964.88129409722" createdVersion="5" refreshedVersion="8" minRefreshableVersion="3" recordCount="0" supportSubquery="1" supportAdvancedDrill="1" xr:uid="{32021AD3-ABB6-466C-B425-09509C133298}">
  <cacheSource type="external" connectionId="5"/>
  <cacheFields count="5">
    <cacheField name="[orders].[Order Date (Month)].[Order Date (Month)]" caption="Order Date (Month)" numFmtId="0" hierarchy="17" level="1">
      <sharedItems count="12">
        <s v="Jan"/>
        <s v="Feb"/>
        <s v="Mar"/>
        <s v="Apr"/>
        <s v="May"/>
        <s v="Jun"/>
        <s v="Jul"/>
        <s v="Aug"/>
        <s v="Sep"/>
        <s v="Oct"/>
        <s v="Nov"/>
        <s v="Dec"/>
      </sharedItems>
    </cacheField>
    <cacheField name="[orders].[Order Date (Year)].[Order Date (Year)]" caption="Order Date (Year)" numFmtId="0" hierarchy="15" level="1">
      <sharedItems count="4">
        <s v="2019"/>
        <s v="2020"/>
        <s v="2021"/>
        <s v="2022"/>
      </sharedItems>
    </cacheField>
    <cacheField name="[Measures].[Total sales]" caption="Total sales" numFmtId="0" hierarchy="26" level="32767"/>
    <cacheField name="[products].[Coffee Type].[Coffee Type]" caption="Coffee Type" numFmtId="0" hierarchy="19" level="1">
      <sharedItems count="4">
        <s v="Arabica"/>
        <s v="Excelsa"/>
        <s v="Liberica"/>
        <s v="Robusta"/>
      </sharedItems>
    </cacheField>
    <cacheField name="[products].[Roast Type].[Roast Type]" caption="Roast Type" numFmtId="0" hierarchy="20" level="1">
      <sharedItems containsSemiMixedTypes="0" containsNonDate="0" containsString="0"/>
    </cacheField>
  </cacheFields>
  <cacheHierarchies count="32">
    <cacheHierarchy uniqueName="[_measures].[Column]" caption="Column" attribute="1" defaultMemberUniqueName="[_measures].[Column].[All]" allUniqueName="[_measures].[Column].[All]" dimensionUniqueName="[_measur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2" memberValueDatatype="130" unbalanced="0">
      <fieldsUsage count="2">
        <fieldUsage x="-1"/>
        <fieldUsage x="3"/>
      </fieldsUsage>
    </cacheHierarchy>
    <cacheHierarchy uniqueName="[products].[Roast Type]" caption="Roast Type" attribute="1" defaultMemberUniqueName="[products].[Roast Type].[All]" allUniqueName="[products].[Roast Type].[All]" dimensionUniqueName="[products]" displayFolder="" count="2" memberValueDatatype="130" unbalanced="0">
      <fieldsUsage count="2">
        <fieldUsage x="-1"/>
        <fieldUsage x="4"/>
      </fieldsUsage>
    </cacheHierarchy>
    <cacheHierarchy uniqueName="[products].[Size]" caption="Size" attribute="1" defaultMemberUniqueName="[products].[Size].[All]" allUniqueName="[products].[Size].[All]" dimensionUniqueName="[products]" displayFolder="" count="2" memberValueDatatype="130"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_measures" count="0" oneField="1">
      <fieldsUsage count="1">
        <fieldUsage x="2"/>
      </fieldsUsage>
    </cacheHierarchy>
    <cacheHierarchy uniqueName="[Measures].[__XL_Count _measures]" caption="__XL_Count _measures" measure="1" displayFolder="" measureGroup="_measur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_measures" uniqueName="[_measures]" caption="_measur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_measures" caption="_measures"/>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 Ko Aung" refreshedDate="45964.881294675928" createdVersion="5" refreshedVersion="8" minRefreshableVersion="3" recordCount="0" supportSubquery="1" supportAdvancedDrill="1" xr:uid="{5559FB6F-AEC9-4177-B4E4-DBF5CEE8DED0}">
  <cacheSource type="external" connectionId="5"/>
  <cacheFields count="3">
    <cacheField name="[Measures].[Total sales]" caption="Total sales" numFmtId="0" hierarchy="26" level="32767"/>
    <cacheField name="[customers].[Country].[Country]" caption="Country" numFmtId="0" hierarchy="7" level="1">
      <sharedItems count="3">
        <s v="Ireland"/>
        <s v="United Kingdom"/>
        <s v="United States"/>
      </sharedItems>
    </cacheField>
    <cacheField name="[products].[Roast Type].[Roast Type]" caption="Roast Type" numFmtId="0" hierarchy="20" level="1">
      <sharedItems containsSemiMixedTypes="0" containsNonDate="0" containsString="0"/>
    </cacheField>
  </cacheFields>
  <cacheHierarchies count="32">
    <cacheHierarchy uniqueName="[_measures].[Column]" caption="Column" attribute="1" defaultMemberUniqueName="[_measures].[Column].[All]" allUniqueName="[_measures].[Column].[All]" dimensionUniqueName="[_measur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2" memberValueDatatype="130"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_measures" count="0" oneField="1">
      <fieldsUsage count="1">
        <fieldUsage x="0"/>
      </fieldsUsage>
    </cacheHierarchy>
    <cacheHierarchy uniqueName="[Measures].[__XL_Count _measures]" caption="__XL_Count _measures" measure="1" displayFolder="" measureGroup="_measur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_measures" uniqueName="[_measures]" caption="_measur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_measures" caption="_measures"/>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 Ko Aung" refreshedDate="45964.881295254629" createdVersion="5" refreshedVersion="8" minRefreshableVersion="3" recordCount="0" supportSubquery="1" supportAdvancedDrill="1" xr:uid="{3ADC8DE7-A524-4903-89EA-5B1BBCC18D82}">
  <cacheSource type="external" connectionId="5"/>
  <cacheFields count="3">
    <cacheField name="[Measures].[Total sales]" caption="Total sales" numFmtId="0" hierarchy="26" level="32767"/>
    <cacheField name="[customers].[Customer Name].[Customer Name]" caption="Customer Name" numFmtId="0" hierarchy="2" level="1">
      <sharedItems count="5">
        <s v="Allis Wilmore"/>
        <s v="Brenn Dundredge"/>
        <s v="Don Flintiff"/>
        <s v="Nealson Cuttler"/>
        <s v="Terri Farra"/>
      </sharedItems>
    </cacheField>
    <cacheField name="[products].[Roast Type].[Roast Type]" caption="Roast Type" numFmtId="0" hierarchy="20" level="1">
      <sharedItems containsSemiMixedTypes="0" containsNonDate="0" containsString="0"/>
    </cacheField>
  </cacheFields>
  <cacheHierarchies count="32">
    <cacheHierarchy uniqueName="[_measures].[Column]" caption="Column" attribute="1" defaultMemberUniqueName="[_measures].[Column].[All]" allUniqueName="[_measures].[Column].[All]" dimensionUniqueName="[_measur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2" memberValueDatatype="130"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_measures" count="0" oneField="1">
      <fieldsUsage count="1">
        <fieldUsage x="0"/>
      </fieldsUsage>
    </cacheHierarchy>
    <cacheHierarchy uniqueName="[Measures].[__XL_Count _measures]" caption="__XL_Count _measures" measure="1" displayFolder="" measureGroup="_measur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_measures" uniqueName="[_measures]" caption="_measur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_measures" caption="_measures"/>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 Ko Aung" refreshedDate="45964.685689351849" createdVersion="3" refreshedVersion="8" minRefreshableVersion="3" recordCount="0" supportSubquery="1" supportAdvancedDrill="1" xr:uid="{74571760-102F-46D1-8790-2B01A36B5768}">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_measures].[Column]" caption="Column" attribute="1" defaultMemberUniqueName="[_measures].[Column].[All]" allUniqueName="[_measures].[Column].[All]" dimensionUniqueName="[_measur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_measures" count="0"/>
    <cacheHierarchy uniqueName="[Measures].[__XL_Count _measures]" caption="__XL_Count _measures" measure="1" displayFolder="" measureGroup="_measur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39798413"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 Ko Aung" refreshedDate="45964.685689814818" createdVersion="3" refreshedVersion="8" minRefreshableVersion="3" recordCount="0" supportSubquery="1" supportAdvancedDrill="1" xr:uid="{3A94006D-2AB9-40E5-AC9C-F58DBF59C124}">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_measures].[Column]" caption="Column" attribute="1" defaultMemberUniqueName="[_measures].[Column].[All]" allUniqueName="[_measures].[Column].[All]" dimensionUniqueName="[_measur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_measures" count="0"/>
    <cacheHierarchy uniqueName="[Measures].[__XL_Count _measures]" caption="__XL_Count _measures" measure="1" displayFolder="" measureGroup="_measur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1588163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33C6F9-97ED-4D58-B880-7084DE1AB392}" name="monthly_sales" cacheId="34" applyNumberFormats="0" applyBorderFormats="0" applyFontFormats="0" applyPatternFormats="0" applyAlignmentFormats="0" applyWidthHeightFormats="1" dataCaption="Values" tag="c25c7db5-409f-4e2e-be24-34e6aaab82cd" updatedVersion="8" minRefreshableVersion="5" subtotalHiddenItems="1" rowGrandTotals="0" colGrandTotals="0" itemPrintTitles="1" createdVersion="5" indent="0" outline="1" outlineData="1" multipleFieldFilters="0" chartFormat="6" rowHeaderCaption="OrderDate" colHeaderCaption="Coffee Type">
  <location ref="B4:F53" firstHeaderRow="1" firstDataRow="2" firstDataCol="1"/>
  <pivotFields count="5">
    <pivotField axis="axisRow" allDrilled="1" showAll="0" dataSourceSort="1" defaultSubtotal="0" defaultAttributeDrillState="1">
      <items count="12">
        <item x="0"/>
        <item x="1"/>
        <item x="2"/>
        <item x="3"/>
        <item x="4"/>
        <item x="5"/>
        <item x="6"/>
        <item x="7"/>
        <item x="8"/>
        <item x="9"/>
        <item x="10"/>
        <item x="11"/>
      </items>
    </pivotField>
    <pivotField axis="axisRow" allDrilled="1" showAll="0" dataSourceSort="1" defaultSubtotal="0" defaultAttributeDrillState="1">
      <items count="4">
        <item x="0"/>
        <item x="1"/>
        <item x="2"/>
        <item x="3"/>
      </items>
    </pivotField>
    <pivotField dataField="1" showAll="0" defaultSubtotal="0"/>
    <pivotField axis="axisCol" allDrilled="1"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0"/>
  </rowFields>
  <rowItems count="48">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rowItems>
  <colFields count="1">
    <field x="3"/>
  </colFields>
  <colItems count="4">
    <i>
      <x/>
    </i>
    <i>
      <x v="1"/>
    </i>
    <i>
      <x v="2"/>
    </i>
    <i>
      <x v="3"/>
    </i>
  </colItems>
  <dataFields count="1">
    <dataField name=" " fld="2" subtotal="count" baseField="0" baseItem="0"/>
  </dataFields>
  <chartFormats count="5">
    <chartFormat chart="5" format="16" series="1">
      <pivotArea type="data" outline="0" fieldPosition="0">
        <references count="1">
          <reference field="4294967294" count="1" selected="0">
            <x v="0"/>
          </reference>
        </references>
      </pivotArea>
    </chartFormat>
    <chartFormat chart="5" format="21" series="1">
      <pivotArea type="data" outline="0" fieldPosition="0">
        <references count="2">
          <reference field="4294967294" count="1" selected="0">
            <x v="0"/>
          </reference>
          <reference field="3" count="1" selected="0">
            <x v="3"/>
          </reference>
        </references>
      </pivotArea>
    </chartFormat>
    <chartFormat chart="5" format="22" series="1">
      <pivotArea type="data" outline="0" fieldPosition="0">
        <references count="2">
          <reference field="4294967294" count="1" selected="0">
            <x v="0"/>
          </reference>
          <reference field="3" count="1" selected="0">
            <x v="2"/>
          </reference>
        </references>
      </pivotArea>
    </chartFormat>
    <chartFormat chart="5" format="23" series="1">
      <pivotArea type="data" outline="0" fieldPosition="0">
        <references count="2">
          <reference field="4294967294" count="1" selected="0">
            <x v="0"/>
          </reference>
          <reference field="3" count="1" selected="0">
            <x v="1"/>
          </reference>
        </references>
      </pivotArea>
    </chartFormat>
    <chartFormat chart="5" format="24" series="1">
      <pivotArea type="data" outline="0" fieldPosition="0">
        <references count="2">
          <reference field="4294967294" count="1" selected="0">
            <x v="0"/>
          </reference>
          <reference field="3"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15"/>
    <rowHierarchyUsage hierarchyUsage="17"/>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575ACC-7B4A-427A-9462-9EC29BFC31E9}" name="country_sales" cacheId="37" applyNumberFormats="0" applyBorderFormats="0" applyFontFormats="0" applyPatternFormats="0" applyAlignmentFormats="0" applyWidthHeightFormats="1" dataCaption="Values" tag="5e7169ee-2e50-4bd7-a849-ddcd94da184b" updatedVersion="8" minRefreshableVersion="5" subtotalHiddenItems="1" rowGrandTotals="0" colGrandTotals="0" itemPrintTitles="1" createdVersion="5" indent="0" outline="1" outlineData="1" multipleFieldFilters="0" chartFormat="4" rowHeaderCaption="Country">
  <location ref="H4:I7"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2"/>
    </i>
    <i>
      <x/>
    </i>
    <i>
      <x v="1"/>
    </i>
  </rowItems>
  <colItems count="1">
    <i/>
  </colItems>
  <dataFields count="1">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6CD8C-2752-4408-889C-43B73D3589C6}" name="top_customer" cacheId="40" applyNumberFormats="0" applyBorderFormats="0" applyFontFormats="0" applyPatternFormats="0" applyAlignmentFormats="0" applyWidthHeightFormats="1" dataCaption="Values" tag="bc59c03e-2e17-4ddf-a6b9-8bc3de028463" updatedVersion="8" minRefreshableVersion="5" rowGrandTotals="0" colGrandTotals="0" itemPrintTitles="1" createdVersion="5" indent="0" outline="1" outlineData="1" multipleFieldFilters="0" chartFormat="4" rowHeaderCaption="Customer Name">
  <location ref="L4:M9"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1"/>
    </i>
    <i>
      <x v="4"/>
    </i>
    <i>
      <x v="3"/>
    </i>
    <i>
      <x v="2"/>
    </i>
  </rowItems>
  <colItems count="1">
    <i/>
  </colItems>
  <dataFields count="1">
    <dataField fld="0" subtotal="count" baseField="0" baseItem="0"/>
  </dataFields>
  <chartFormats count="1">
    <chartFormat chart="3" format="3"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1" type="count" id="2" iMeasureHier="26">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970FB2A1-0678-46A3-A943-434E0DF546F9}" sourceName="[products].[Roast Type]">
  <pivotTables>
    <pivotTable tabId="18" name="monthly_sales"/>
    <pivotTable tabId="18" name="country_sales"/>
    <pivotTable tabId="18" name="top_customer"/>
  </pivotTables>
  <data>
    <olap pivotCacheId="539798413">
      <levels count="2">
        <level uniqueName="[products].[Roast Type].[(All)]" sourceCaption="(All)" count="0"/>
        <level uniqueName="[products].[Roast Type].[Roast Type]" sourceCaption="Roast Type" count="3">
          <ranges>
            <range startItem="0">
              <i n="[products].[Roast Type].&amp;[Dark]" c="Dark"/>
              <i n="[products].[Roast Type].&amp;[Light]" c="Light"/>
              <i n="[products].[Roast Type].&amp;[Medium]" c="Medium"/>
            </range>
          </ranges>
        </level>
      </levels>
      <selections count="1">
        <selection n="[products].[Roast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6ABAF3B-AAA0-46F4-B100-B35AA9F43C8F}" sourceName="[products].[Size]">
  <pivotTables>
    <pivotTable tabId="18" name="monthly_sales"/>
    <pivotTable tabId="18" name="country_sales"/>
    <pivotTable tabId="18" name="top_customer"/>
  </pivotTables>
  <data>
    <olap pivotCacheId="539798413">
      <levels count="2">
        <level uniqueName="[products].[Size].[(All)]" sourceCaption="(All)" count="0"/>
        <level uniqueName="[products].[Size].[Size]" sourceCaption="Size" count="4">
          <ranges>
            <range startItem="0">
              <i n="[products].[Size].&amp;[0.2kg]" c="0.2kg"/>
              <i n="[products].[Size].&amp;[0.5kg]" c="0.5kg"/>
              <i n="[products].[Size].&amp;[1kg]" c="1kg"/>
              <i n="[products].[Size].&amp;[2.5kg]" c="2.5kg"/>
            </range>
          </ranges>
        </level>
      </levels>
      <selections count="1">
        <selection n="[products].[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5D5C51A-F057-4989-AB1D-3C3AE8CFEB75}" sourceName="[customers].[Loyalty Card]">
  <pivotTables>
    <pivotTable tabId="18" name="monthly_sales"/>
    <pivotTable tabId="18" name="country_sales"/>
    <pivotTable tabId="18" name="top_customer"/>
  </pivotTables>
  <data>
    <olap pivotCacheId="539798413">
      <levels count="2">
        <level uniqueName="[customers].[Loyalty Card].[(All)]" sourceCaption="(All)" count="0"/>
        <level uniqueName="[customers].[Loyalty Card].[Loyalty Card]" sourceCaption="Loyalty Card" count="2">
          <ranges>
            <range startItem="0">
              <i n="[customers].[Loyalty Card].&amp;[No]" c="No"/>
              <i n="[customers].[Loyalty Card].&amp;[Yes]" c="Yes"/>
            </range>
          </ranges>
        </level>
      </levels>
      <selections count="1">
        <selection n="[customers].[Loyalty Car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AC6617C1-2D79-4D23-82B0-07FB4099BAB0}" cache="Slicer_Roast_Type" caption="Roast Type" columnCount="3" level="1" style="SlicerStyleLight1 2" lockedPosition="1" rowHeight="234950"/>
  <slicer name="Size" xr10:uid="{FBB7356C-E12A-4072-BAC4-9ADD31A8B6C5}" cache="Slicer_Size" caption="Size" columnCount="2" level="1" style="SlicerStyleLight1 2" lockedPosition="1" rowHeight="234950"/>
  <slicer name="Loyalty Card" xr10:uid="{FA47FD31-3FAB-43ED-9488-C8E6020C673D}" cache="Slicer_Loyalty_Card" caption="Loyalty Card" level="1" style="SlicerStyleLight1 2" lockedPosition="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2554EEC-04D9-40BA-970C-95D810DAACB0}" sourceName="[orders].[Order Date]">
  <pivotTables>
    <pivotTable tabId="18" name="monthly_sales"/>
    <pivotTable tabId="18" name="country_sales"/>
    <pivotTable tabId="18" name="top_customer"/>
  </pivotTables>
  <state minimalRefreshVersion="6" lastRefreshVersion="6" pivotCacheId="51588163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BA0B004-C08C-4EA1-B395-D4CF28AEBA0B}" cache="Timeline_Order_Date" caption="Order Date" level="2" selectionLevel="2" scrollPosition="2019-01-01T00:00:00" style="TimeSlicerStyleLight1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67D2-9BE1-49A8-B167-500E44B71B60}">
  <dimension ref="A1"/>
  <sheetViews>
    <sheetView showGridLines="0" showRowColHeaders="0" tabSelected="1" zoomScale="79" zoomScaleNormal="80" workbookViewId="0">
      <selection activeCell="Z2" sqref="Z2:Z33"/>
    </sheetView>
  </sheetViews>
  <sheetFormatPr defaultRowHeight="14.4" x14ac:dyDescent="0.3"/>
  <cols>
    <col min="1" max="1" width="4.88671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E51EF-A6B1-4B84-8FA0-9281FD636B0B}">
  <dimension ref="B2:M53"/>
  <sheetViews>
    <sheetView workbookViewId="0">
      <selection activeCell="K14" sqref="K14"/>
    </sheetView>
  </sheetViews>
  <sheetFormatPr defaultRowHeight="14.4" x14ac:dyDescent="0.3"/>
  <cols>
    <col min="2" max="2" width="14.88671875" bestFit="1" customWidth="1"/>
    <col min="3" max="3" width="15.5546875" bestFit="1" customWidth="1"/>
    <col min="4" max="6" width="11.6640625" customWidth="1"/>
    <col min="7" max="7" width="10.77734375" bestFit="1" customWidth="1"/>
    <col min="8" max="8" width="14" bestFit="1" customWidth="1"/>
    <col min="9" max="9" width="14.88671875" bestFit="1" customWidth="1"/>
    <col min="12" max="12" width="15.109375" bestFit="1" customWidth="1"/>
    <col min="13" max="13" width="9.6640625" bestFit="1" customWidth="1"/>
  </cols>
  <sheetData>
    <row r="2" spans="2:13" ht="15" thickBot="1" x14ac:dyDescent="0.35">
      <c r="B2" s="5" t="s">
        <v>32</v>
      </c>
      <c r="C2" s="6"/>
      <c r="H2" s="5" t="s">
        <v>33</v>
      </c>
      <c r="I2" s="6"/>
      <c r="L2" s="5" t="s">
        <v>34</v>
      </c>
      <c r="M2" s="6"/>
    </row>
    <row r="3" spans="2:13" ht="15" thickTop="1" x14ac:dyDescent="0.3"/>
    <row r="4" spans="2:13" x14ac:dyDescent="0.3">
      <c r="B4" s="1" t="s">
        <v>36</v>
      </c>
      <c r="C4" s="1" t="s">
        <v>2</v>
      </c>
      <c r="H4" s="1" t="s">
        <v>1</v>
      </c>
      <c r="I4" t="s">
        <v>27</v>
      </c>
      <c r="L4" s="1" t="s">
        <v>0</v>
      </c>
      <c r="M4" t="s">
        <v>27</v>
      </c>
    </row>
    <row r="5" spans="2:13" x14ac:dyDescent="0.3">
      <c r="B5" s="1" t="s">
        <v>35</v>
      </c>
      <c r="C5" t="s">
        <v>28</v>
      </c>
      <c r="D5" t="s">
        <v>29</v>
      </c>
      <c r="E5" t="s">
        <v>30</v>
      </c>
      <c r="F5" t="s">
        <v>31</v>
      </c>
      <c r="H5" s="2" t="s">
        <v>3</v>
      </c>
      <c r="I5" s="4">
        <v>35638.884999999987</v>
      </c>
      <c r="L5" s="2" t="s">
        <v>9</v>
      </c>
      <c r="M5" s="4">
        <v>317.06999999999994</v>
      </c>
    </row>
    <row r="6" spans="2:13" x14ac:dyDescent="0.3">
      <c r="B6" s="2" t="s">
        <v>11</v>
      </c>
      <c r="C6" s="7"/>
      <c r="D6" s="7"/>
      <c r="E6" s="7"/>
      <c r="F6" s="7"/>
      <c r="H6" s="2" t="s">
        <v>5</v>
      </c>
      <c r="I6" s="4">
        <v>6696.8649999999998</v>
      </c>
      <c r="L6" s="2" t="s">
        <v>10</v>
      </c>
      <c r="M6" s="4">
        <v>307.04499999999996</v>
      </c>
    </row>
    <row r="7" spans="2:13" x14ac:dyDescent="0.3">
      <c r="B7" s="3" t="s">
        <v>12</v>
      </c>
      <c r="C7" s="4">
        <v>186.85499999999999</v>
      </c>
      <c r="D7" s="4">
        <v>305.96999999999997</v>
      </c>
      <c r="E7" s="4">
        <v>213.15999999999997</v>
      </c>
      <c r="F7" s="4">
        <v>123</v>
      </c>
      <c r="H7" s="2" t="s">
        <v>4</v>
      </c>
      <c r="I7" s="4">
        <v>2798.5049999999997</v>
      </c>
      <c r="L7" s="2" t="s">
        <v>7</v>
      </c>
      <c r="M7" s="4">
        <v>289.10999999999996</v>
      </c>
    </row>
    <row r="8" spans="2:13" x14ac:dyDescent="0.3">
      <c r="B8" s="3" t="s">
        <v>13</v>
      </c>
      <c r="C8" s="4">
        <v>251.965</v>
      </c>
      <c r="D8" s="4">
        <v>129.46</v>
      </c>
      <c r="E8" s="4">
        <v>434.03999999999991</v>
      </c>
      <c r="F8" s="4">
        <v>171.93999999999997</v>
      </c>
      <c r="L8" s="2" t="s">
        <v>6</v>
      </c>
      <c r="M8" s="4">
        <v>281.67500000000001</v>
      </c>
    </row>
    <row r="9" spans="2:13" x14ac:dyDescent="0.3">
      <c r="B9" s="3" t="s">
        <v>14</v>
      </c>
      <c r="C9" s="4">
        <v>224.94499999999999</v>
      </c>
      <c r="D9" s="4">
        <v>349.12</v>
      </c>
      <c r="E9" s="4">
        <v>321.04000000000002</v>
      </c>
      <c r="F9" s="4">
        <v>126.03499999999998</v>
      </c>
      <c r="L9" s="2" t="s">
        <v>8</v>
      </c>
      <c r="M9" s="4">
        <v>278.01</v>
      </c>
    </row>
    <row r="10" spans="2:13" x14ac:dyDescent="0.3">
      <c r="B10" s="3" t="s">
        <v>15</v>
      </c>
      <c r="C10" s="4">
        <v>307.12</v>
      </c>
      <c r="D10" s="4">
        <v>681.07499999999993</v>
      </c>
      <c r="E10" s="4">
        <v>533.70499999999993</v>
      </c>
      <c r="F10" s="4">
        <v>158.85</v>
      </c>
    </row>
    <row r="11" spans="2:13" x14ac:dyDescent="0.3">
      <c r="B11" s="3" t="s">
        <v>16</v>
      </c>
      <c r="C11" s="4">
        <v>53.664999999999992</v>
      </c>
      <c r="D11" s="4">
        <v>83.025000000000006</v>
      </c>
      <c r="E11" s="4">
        <v>193.83499999999998</v>
      </c>
      <c r="F11" s="4">
        <v>68.039999999999992</v>
      </c>
    </row>
    <row r="12" spans="2:13" x14ac:dyDescent="0.3">
      <c r="B12" s="3" t="s">
        <v>17</v>
      </c>
      <c r="C12" s="4">
        <v>163.01999999999998</v>
      </c>
      <c r="D12" s="4">
        <v>678.3599999999999</v>
      </c>
      <c r="E12" s="4">
        <v>171.04500000000002</v>
      </c>
      <c r="F12" s="4">
        <v>372.25499999999994</v>
      </c>
    </row>
    <row r="13" spans="2:13" x14ac:dyDescent="0.3">
      <c r="B13" s="3" t="s">
        <v>18</v>
      </c>
      <c r="C13" s="4">
        <v>345.02</v>
      </c>
      <c r="D13" s="4">
        <v>273.86999999999995</v>
      </c>
      <c r="E13" s="4">
        <v>184.13</v>
      </c>
      <c r="F13" s="4">
        <v>201.11499999999998</v>
      </c>
    </row>
    <row r="14" spans="2:13" x14ac:dyDescent="0.3">
      <c r="B14" s="3" t="s">
        <v>19</v>
      </c>
      <c r="C14" s="4">
        <v>334.89</v>
      </c>
      <c r="D14" s="4">
        <v>70.95</v>
      </c>
      <c r="E14" s="4">
        <v>134.23000000000002</v>
      </c>
      <c r="F14" s="4">
        <v>166.27499999999998</v>
      </c>
    </row>
    <row r="15" spans="2:13" x14ac:dyDescent="0.3">
      <c r="B15" s="3" t="s">
        <v>20</v>
      </c>
      <c r="C15" s="4">
        <v>178.70999999999998</v>
      </c>
      <c r="D15" s="4">
        <v>166.1</v>
      </c>
      <c r="E15" s="4">
        <v>439.30999999999995</v>
      </c>
      <c r="F15" s="4">
        <v>492.90000000000003</v>
      </c>
    </row>
    <row r="16" spans="2:13" x14ac:dyDescent="0.3">
      <c r="B16" s="3" t="s">
        <v>21</v>
      </c>
      <c r="C16" s="4">
        <v>301.98499999999996</v>
      </c>
      <c r="D16" s="4">
        <v>153.76499999999999</v>
      </c>
      <c r="E16" s="4">
        <v>215.55499999999998</v>
      </c>
      <c r="F16" s="4">
        <v>213.66499999999999</v>
      </c>
    </row>
    <row r="17" spans="2:6" x14ac:dyDescent="0.3">
      <c r="B17" s="3" t="s">
        <v>22</v>
      </c>
      <c r="C17" s="4">
        <v>312.83500000000004</v>
      </c>
      <c r="D17" s="4">
        <v>63.249999999999993</v>
      </c>
      <c r="E17" s="4">
        <v>350.89499999999992</v>
      </c>
      <c r="F17" s="4">
        <v>96.404999999999987</v>
      </c>
    </row>
    <row r="18" spans="2:6" x14ac:dyDescent="0.3">
      <c r="B18" s="3" t="s">
        <v>23</v>
      </c>
      <c r="C18" s="4">
        <v>265.62</v>
      </c>
      <c r="D18" s="4">
        <v>526.51499999999987</v>
      </c>
      <c r="E18" s="4">
        <v>187.06</v>
      </c>
      <c r="F18" s="4">
        <v>210.59</v>
      </c>
    </row>
    <row r="19" spans="2:6" x14ac:dyDescent="0.3">
      <c r="B19" s="2" t="s">
        <v>24</v>
      </c>
      <c r="C19" s="7"/>
      <c r="D19" s="7"/>
      <c r="E19" s="7"/>
      <c r="F19" s="7"/>
    </row>
    <row r="20" spans="2:6" x14ac:dyDescent="0.3">
      <c r="B20" s="3" t="s">
        <v>12</v>
      </c>
      <c r="C20" s="4">
        <v>47.25</v>
      </c>
      <c r="D20" s="4">
        <v>65.805000000000007</v>
      </c>
      <c r="E20" s="4">
        <v>274.67500000000001</v>
      </c>
      <c r="F20" s="4">
        <v>179.22</v>
      </c>
    </row>
    <row r="21" spans="2:6" x14ac:dyDescent="0.3">
      <c r="B21" s="3" t="s">
        <v>13</v>
      </c>
      <c r="C21" s="4">
        <v>745.45</v>
      </c>
      <c r="D21" s="4">
        <v>428.88499999999993</v>
      </c>
      <c r="E21" s="4">
        <v>194.17500000000001</v>
      </c>
      <c r="F21" s="4">
        <v>429.82999999999993</v>
      </c>
    </row>
    <row r="22" spans="2:6" x14ac:dyDescent="0.3">
      <c r="B22" s="3" t="s">
        <v>14</v>
      </c>
      <c r="C22" s="4">
        <v>130.47</v>
      </c>
      <c r="D22" s="4">
        <v>271.48500000000007</v>
      </c>
      <c r="E22" s="4">
        <v>281.20499999999993</v>
      </c>
      <c r="F22" s="4">
        <v>231.63</v>
      </c>
    </row>
    <row r="23" spans="2:6" x14ac:dyDescent="0.3">
      <c r="B23" s="3" t="s">
        <v>15</v>
      </c>
      <c r="C23" s="4">
        <v>27</v>
      </c>
      <c r="D23" s="4">
        <v>347.25999999999993</v>
      </c>
      <c r="E23" s="4">
        <v>147.51000000000002</v>
      </c>
      <c r="F23" s="4">
        <v>240.03999999999996</v>
      </c>
    </row>
    <row r="24" spans="2:6" x14ac:dyDescent="0.3">
      <c r="B24" s="3" t="s">
        <v>16</v>
      </c>
      <c r="C24" s="4">
        <v>255.11499999999995</v>
      </c>
      <c r="D24" s="4">
        <v>541.73</v>
      </c>
      <c r="E24" s="4">
        <v>83.43</v>
      </c>
      <c r="F24" s="4">
        <v>59.079999999999991</v>
      </c>
    </row>
    <row r="25" spans="2:6" x14ac:dyDescent="0.3">
      <c r="B25" s="3" t="s">
        <v>17</v>
      </c>
      <c r="C25" s="4">
        <v>584.78999999999985</v>
      </c>
      <c r="D25" s="4">
        <v>357.42999999999995</v>
      </c>
      <c r="E25" s="4">
        <v>355.33999999999992</v>
      </c>
      <c r="F25" s="4">
        <v>140.87999999999997</v>
      </c>
    </row>
    <row r="26" spans="2:6" x14ac:dyDescent="0.3">
      <c r="B26" s="3" t="s">
        <v>18</v>
      </c>
      <c r="C26" s="4">
        <v>430.61999999999995</v>
      </c>
      <c r="D26" s="4">
        <v>227.42500000000001</v>
      </c>
      <c r="E26" s="4">
        <v>236.315</v>
      </c>
      <c r="F26" s="4">
        <v>414.58499999999992</v>
      </c>
    </row>
    <row r="27" spans="2:6" x14ac:dyDescent="0.3">
      <c r="B27" s="3" t="s">
        <v>19</v>
      </c>
      <c r="C27" s="4">
        <v>22.5</v>
      </c>
      <c r="D27" s="4">
        <v>77.72</v>
      </c>
      <c r="E27" s="4">
        <v>60.5</v>
      </c>
      <c r="F27" s="4">
        <v>139.67999999999998</v>
      </c>
    </row>
    <row r="28" spans="2:6" x14ac:dyDescent="0.3">
      <c r="B28" s="3" t="s">
        <v>20</v>
      </c>
      <c r="C28" s="4">
        <v>126.14999999999999</v>
      </c>
      <c r="D28" s="4">
        <v>195.11</v>
      </c>
      <c r="E28" s="4">
        <v>89.13</v>
      </c>
      <c r="F28" s="4">
        <v>302.65999999999997</v>
      </c>
    </row>
    <row r="29" spans="2:6" x14ac:dyDescent="0.3">
      <c r="B29" s="3" t="s">
        <v>21</v>
      </c>
      <c r="C29" s="4">
        <v>376.03</v>
      </c>
      <c r="D29" s="4">
        <v>523.24</v>
      </c>
      <c r="E29" s="4">
        <v>440.96499999999992</v>
      </c>
      <c r="F29" s="4">
        <v>174.46999999999997</v>
      </c>
    </row>
    <row r="30" spans="2:6" x14ac:dyDescent="0.3">
      <c r="B30" s="3" t="s">
        <v>22</v>
      </c>
      <c r="C30" s="4">
        <v>515.17999999999995</v>
      </c>
      <c r="D30" s="4">
        <v>142.56</v>
      </c>
      <c r="E30" s="4">
        <v>347.03999999999996</v>
      </c>
      <c r="F30" s="4">
        <v>104.08499999999999</v>
      </c>
    </row>
    <row r="31" spans="2:6" x14ac:dyDescent="0.3">
      <c r="B31" s="3" t="s">
        <v>23</v>
      </c>
      <c r="C31" s="4">
        <v>95.86</v>
      </c>
      <c r="D31" s="4">
        <v>484.76</v>
      </c>
      <c r="E31" s="4">
        <v>94.17</v>
      </c>
      <c r="F31" s="4">
        <v>77.10499999999999</v>
      </c>
    </row>
    <row r="32" spans="2:6" x14ac:dyDescent="0.3">
      <c r="B32" s="2" t="s">
        <v>25</v>
      </c>
      <c r="C32" s="7"/>
      <c r="D32" s="7"/>
      <c r="E32" s="7"/>
      <c r="F32" s="7"/>
    </row>
    <row r="33" spans="2:6" x14ac:dyDescent="0.3">
      <c r="B33" s="3" t="s">
        <v>12</v>
      </c>
      <c r="C33" s="4">
        <v>258.34500000000003</v>
      </c>
      <c r="D33" s="4">
        <v>139.625</v>
      </c>
      <c r="E33" s="4">
        <v>279.52</v>
      </c>
      <c r="F33" s="4">
        <v>160.19499999999999</v>
      </c>
    </row>
    <row r="34" spans="2:6" x14ac:dyDescent="0.3">
      <c r="B34" s="3" t="s">
        <v>13</v>
      </c>
      <c r="C34" s="4">
        <v>342.20000000000005</v>
      </c>
      <c r="D34" s="4">
        <v>284.25</v>
      </c>
      <c r="E34" s="4">
        <v>251.83</v>
      </c>
      <c r="F34" s="4">
        <v>80.550000000000011</v>
      </c>
    </row>
    <row r="35" spans="2:6" x14ac:dyDescent="0.3">
      <c r="B35" s="3" t="s">
        <v>14</v>
      </c>
      <c r="C35" s="4">
        <v>418.30500000000001</v>
      </c>
      <c r="D35" s="4">
        <v>468.125</v>
      </c>
      <c r="E35" s="4">
        <v>405.05499999999995</v>
      </c>
      <c r="F35" s="4">
        <v>253.15499999999997</v>
      </c>
    </row>
    <row r="36" spans="2:6" x14ac:dyDescent="0.3">
      <c r="B36" s="3" t="s">
        <v>15</v>
      </c>
      <c r="C36" s="4">
        <v>102.33</v>
      </c>
      <c r="D36" s="4">
        <v>242.14000000000001</v>
      </c>
      <c r="E36" s="4">
        <v>554.87499999999989</v>
      </c>
      <c r="F36" s="4">
        <v>106.23999999999998</v>
      </c>
    </row>
    <row r="37" spans="2:6" x14ac:dyDescent="0.3">
      <c r="B37" s="3" t="s">
        <v>16</v>
      </c>
      <c r="C37" s="4">
        <v>234.71999999999997</v>
      </c>
      <c r="D37" s="4">
        <v>133.08000000000001</v>
      </c>
      <c r="E37" s="4">
        <v>267.2</v>
      </c>
      <c r="F37" s="4">
        <v>272.69</v>
      </c>
    </row>
    <row r="38" spans="2:6" x14ac:dyDescent="0.3">
      <c r="B38" s="3" t="s">
        <v>17</v>
      </c>
      <c r="C38" s="4">
        <v>430.38999999999993</v>
      </c>
      <c r="D38" s="4">
        <v>136.20500000000001</v>
      </c>
      <c r="E38" s="4">
        <v>209.59999999999997</v>
      </c>
      <c r="F38" s="4">
        <v>88.334999999999994</v>
      </c>
    </row>
    <row r="39" spans="2:6" x14ac:dyDescent="0.3">
      <c r="B39" s="3" t="s">
        <v>18</v>
      </c>
      <c r="C39" s="4">
        <v>109.005</v>
      </c>
      <c r="D39" s="4">
        <v>393.57499999999999</v>
      </c>
      <c r="E39" s="4">
        <v>61.035000000000004</v>
      </c>
      <c r="F39" s="4">
        <v>199.48999999999998</v>
      </c>
    </row>
    <row r="40" spans="2:6" x14ac:dyDescent="0.3">
      <c r="B40" s="3" t="s">
        <v>19</v>
      </c>
      <c r="C40" s="4">
        <v>287.52499999999998</v>
      </c>
      <c r="D40" s="4">
        <v>288.67</v>
      </c>
      <c r="E40" s="4">
        <v>125.58</v>
      </c>
      <c r="F40" s="4">
        <v>374.13499999999999</v>
      </c>
    </row>
    <row r="41" spans="2:6" x14ac:dyDescent="0.3">
      <c r="B41" s="3" t="s">
        <v>20</v>
      </c>
      <c r="C41" s="4">
        <v>840.92999999999984</v>
      </c>
      <c r="D41" s="4">
        <v>409.87500000000006</v>
      </c>
      <c r="E41" s="4">
        <v>171.33</v>
      </c>
      <c r="F41" s="4">
        <v>221.43999999999997</v>
      </c>
    </row>
    <row r="42" spans="2:6" x14ac:dyDescent="0.3">
      <c r="B42" s="3" t="s">
        <v>21</v>
      </c>
      <c r="C42" s="4">
        <v>299.06999999999994</v>
      </c>
      <c r="D42" s="4">
        <v>260.32499999999999</v>
      </c>
      <c r="E42" s="4">
        <v>584.63999999999987</v>
      </c>
      <c r="F42" s="4">
        <v>256.36500000000001</v>
      </c>
    </row>
    <row r="43" spans="2:6" x14ac:dyDescent="0.3">
      <c r="B43" s="3" t="s">
        <v>22</v>
      </c>
      <c r="C43" s="4">
        <v>323.32499999999999</v>
      </c>
      <c r="D43" s="4">
        <v>565.57000000000005</v>
      </c>
      <c r="E43" s="4">
        <v>537.80999999999995</v>
      </c>
      <c r="F43" s="4">
        <v>189.47499999999999</v>
      </c>
    </row>
    <row r="44" spans="2:6" x14ac:dyDescent="0.3">
      <c r="B44" s="3" t="s">
        <v>23</v>
      </c>
      <c r="C44" s="4">
        <v>399.48499999999996</v>
      </c>
      <c r="D44" s="4">
        <v>148.20000000000002</v>
      </c>
      <c r="E44" s="4">
        <v>388.21999999999991</v>
      </c>
      <c r="F44" s="4">
        <v>212.07499999999999</v>
      </c>
    </row>
    <row r="45" spans="2:6" x14ac:dyDescent="0.3">
      <c r="B45" s="2" t="s">
        <v>26</v>
      </c>
      <c r="C45" s="7"/>
      <c r="D45" s="7"/>
      <c r="E45" s="7"/>
      <c r="F45" s="7"/>
    </row>
    <row r="46" spans="2:6" x14ac:dyDescent="0.3">
      <c r="B46" s="3" t="s">
        <v>12</v>
      </c>
      <c r="C46" s="4">
        <v>112.69499999999999</v>
      </c>
      <c r="D46" s="4">
        <v>166.32000000000002</v>
      </c>
      <c r="E46" s="4">
        <v>843.71499999999992</v>
      </c>
      <c r="F46" s="4">
        <v>146.68499999999997</v>
      </c>
    </row>
    <row r="47" spans="2:6" x14ac:dyDescent="0.3">
      <c r="B47" s="3" t="s">
        <v>13</v>
      </c>
      <c r="C47" s="4">
        <v>114.87999999999998</v>
      </c>
      <c r="D47" s="4">
        <v>133.815</v>
      </c>
      <c r="E47" s="4">
        <v>91.175000000000011</v>
      </c>
      <c r="F47" s="4">
        <v>53.759999999999991</v>
      </c>
    </row>
    <row r="48" spans="2:6" x14ac:dyDescent="0.3">
      <c r="B48" s="3" t="s">
        <v>14</v>
      </c>
      <c r="C48" s="4">
        <v>277.76</v>
      </c>
      <c r="D48" s="4">
        <v>175.41</v>
      </c>
      <c r="E48" s="4">
        <v>462.51</v>
      </c>
      <c r="F48" s="4">
        <v>399.52499999999998</v>
      </c>
    </row>
    <row r="49" spans="2:6" x14ac:dyDescent="0.3">
      <c r="B49" s="3" t="s">
        <v>15</v>
      </c>
      <c r="C49" s="4">
        <v>197.89500000000001</v>
      </c>
      <c r="D49" s="4">
        <v>289.755</v>
      </c>
      <c r="E49" s="4">
        <v>88.544999999999987</v>
      </c>
      <c r="F49" s="4">
        <v>200.25499999999997</v>
      </c>
    </row>
    <row r="50" spans="2:6" x14ac:dyDescent="0.3">
      <c r="B50" s="3" t="s">
        <v>16</v>
      </c>
      <c r="C50" s="4">
        <v>193.11499999999998</v>
      </c>
      <c r="D50" s="4">
        <v>212.495</v>
      </c>
      <c r="E50" s="4">
        <v>292.28999999999996</v>
      </c>
      <c r="F50" s="4">
        <v>304.47000000000003</v>
      </c>
    </row>
    <row r="51" spans="2:6" x14ac:dyDescent="0.3">
      <c r="B51" s="3" t="s">
        <v>17</v>
      </c>
      <c r="C51" s="4">
        <v>179.79</v>
      </c>
      <c r="D51" s="4">
        <v>426.2</v>
      </c>
      <c r="E51" s="4">
        <v>170.08999999999997</v>
      </c>
      <c r="F51" s="4">
        <v>379.31</v>
      </c>
    </row>
    <row r="52" spans="2:6" x14ac:dyDescent="0.3">
      <c r="B52" s="3" t="s">
        <v>18</v>
      </c>
      <c r="C52" s="4">
        <v>247.29</v>
      </c>
      <c r="D52" s="4">
        <v>246.68499999999997</v>
      </c>
      <c r="E52" s="4">
        <v>271.05499999999995</v>
      </c>
      <c r="F52" s="4">
        <v>141.69999999999999</v>
      </c>
    </row>
    <row r="53" spans="2:6" x14ac:dyDescent="0.3">
      <c r="B53" s="3" t="s">
        <v>19</v>
      </c>
      <c r="C53" s="4">
        <v>116.39499999999998</v>
      </c>
      <c r="D53" s="4">
        <v>41.25</v>
      </c>
      <c r="E53" s="4">
        <v>15.54</v>
      </c>
      <c r="F53" s="4">
        <v>71.06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8235E370-F55C-4899-8D22-4C234C89E9D2}">
  <ds:schemaRefs/>
</ds:datastoreItem>
</file>

<file path=customXml/itemProps2.xml><?xml version="1.0" encoding="utf-8"?>
<ds:datastoreItem xmlns:ds="http://schemas.openxmlformats.org/officeDocument/2006/customXml" ds:itemID="{488D8277-AA1D-4A86-9BFA-99015D5CA998}">
  <ds:schemaRefs/>
</ds:datastoreItem>
</file>

<file path=customXml/itemProps3.xml><?xml version="1.0" encoding="utf-8"?>
<ds:datastoreItem xmlns:ds="http://schemas.openxmlformats.org/officeDocument/2006/customXml" ds:itemID="{255059EC-E04E-450A-9376-ED709EE4931C}">
  <ds:schemaRefs/>
</ds:datastoreItem>
</file>

<file path=customXml/itemProps4.xml><?xml version="1.0" encoding="utf-8"?>
<ds:datastoreItem xmlns:ds="http://schemas.openxmlformats.org/officeDocument/2006/customXml" ds:itemID="{FE3645D5-7BDF-4BF2-818E-2CBE380F8B2E}">
  <ds:schemaRefs/>
</ds:datastoreItem>
</file>

<file path=customXml/itemProps5.xml><?xml version="1.0" encoding="utf-8"?>
<ds:datastoreItem xmlns:ds="http://schemas.openxmlformats.org/officeDocument/2006/customXml" ds:itemID="{34A947B2-849F-4AE0-8A60-0347BBB0CEFE}">
  <ds:schemaRefs/>
</ds:datastoreItem>
</file>

<file path=customXml/itemProps6.xml><?xml version="1.0" encoding="utf-8"?>
<ds:datastoreItem xmlns:ds="http://schemas.openxmlformats.org/officeDocument/2006/customXml" ds:itemID="{3995592C-3AED-4323-9105-67D4F603C82D}">
  <ds:schemaRefs/>
</ds:datastoreItem>
</file>

<file path=customXml/itemProps7.xml><?xml version="1.0" encoding="utf-8"?>
<ds:datastoreItem xmlns:ds="http://schemas.openxmlformats.org/officeDocument/2006/customXml" ds:itemID="{0DDE58CC-0E16-4160-BF9D-6D23F6BAFF35}">
  <ds:schemaRefs/>
</ds:datastoreItem>
</file>

<file path=customXml/itemProps8.xml><?xml version="1.0" encoding="utf-8"?>
<ds:datastoreItem xmlns:ds="http://schemas.openxmlformats.org/officeDocument/2006/customXml" ds:itemID="{E5BA2ABF-1092-4514-8CDE-68BCBD48D8B4}">
  <ds:schemaRefs/>
</ds:datastoreItem>
</file>

<file path=customXml/itemProps9.xml><?xml version="1.0" encoding="utf-8"?>
<ds:datastoreItem xmlns:ds="http://schemas.openxmlformats.org/officeDocument/2006/customXml" ds:itemID="{F7CADC8C-5E3F-48FA-98AD-EE2B6925F73A}">
  <ds:schemaRefs/>
</ds:datastoreItem>
</file>

<file path=customXml/itemProps10.xml><?xml version="1.0" encoding="utf-8"?>
<ds:datastoreItem xmlns:ds="http://schemas.openxmlformats.org/officeDocument/2006/customXml" ds:itemID="{7075AA4F-3C82-48A1-8C24-3F351FC5FCB7}">
  <ds:schemaRefs/>
</ds:datastoreItem>
</file>

<file path=customXml/itemProps11.xml><?xml version="1.0" encoding="utf-8"?>
<ds:datastoreItem xmlns:ds="http://schemas.openxmlformats.org/officeDocument/2006/customXml" ds:itemID="{5BA5DCE2-EEC3-42CA-9D1D-4D8149545AFC}">
  <ds:schemaRefs/>
</ds:datastoreItem>
</file>

<file path=customXml/itemProps12.xml><?xml version="1.0" encoding="utf-8"?>
<ds:datastoreItem xmlns:ds="http://schemas.openxmlformats.org/officeDocument/2006/customXml" ds:itemID="{39A4F7E1-93BE-4560-87ED-90822769CE79}">
  <ds:schemaRefs/>
</ds:datastoreItem>
</file>

<file path=customXml/itemProps13.xml><?xml version="1.0" encoding="utf-8"?>
<ds:datastoreItem xmlns:ds="http://schemas.openxmlformats.org/officeDocument/2006/customXml" ds:itemID="{6603C3F5-1673-440B-A4CB-3ADABD6A86E5}">
  <ds:schemaRefs/>
</ds:datastoreItem>
</file>

<file path=customXml/itemProps14.xml><?xml version="1.0" encoding="utf-8"?>
<ds:datastoreItem xmlns:ds="http://schemas.openxmlformats.org/officeDocument/2006/customXml" ds:itemID="{B91FB618-C50C-48DA-884B-12EFCFCF9EC0}">
  <ds:schemaRefs/>
</ds:datastoreItem>
</file>

<file path=customXml/itemProps15.xml><?xml version="1.0" encoding="utf-8"?>
<ds:datastoreItem xmlns:ds="http://schemas.openxmlformats.org/officeDocument/2006/customXml" ds:itemID="{F9FBF17A-4942-47DB-899E-448ACE94BB8E}">
  <ds:schemaRefs/>
</ds:datastoreItem>
</file>

<file path=customXml/itemProps16.xml><?xml version="1.0" encoding="utf-8"?>
<ds:datastoreItem xmlns:ds="http://schemas.openxmlformats.org/officeDocument/2006/customXml" ds:itemID="{3614271C-4910-4981-B1BC-50ED7D61932E}">
  <ds:schemaRefs/>
</ds:datastoreItem>
</file>

<file path=customXml/itemProps17.xml><?xml version="1.0" encoding="utf-8"?>
<ds:datastoreItem xmlns:ds="http://schemas.openxmlformats.org/officeDocument/2006/customXml" ds:itemID="{1F9FCE64-3E89-4A49-AF08-AD47ACA5D1F3}">
  <ds:schemaRefs/>
</ds:datastoreItem>
</file>

<file path=customXml/itemProps18.xml><?xml version="1.0" encoding="utf-8"?>
<ds:datastoreItem xmlns:ds="http://schemas.openxmlformats.org/officeDocument/2006/customXml" ds:itemID="{558BBC34-B71D-4137-9519-820BAE220EF7}">
  <ds:schemaRefs/>
</ds:datastoreItem>
</file>

<file path=customXml/itemProps19.xml><?xml version="1.0" encoding="utf-8"?>
<ds:datastoreItem xmlns:ds="http://schemas.openxmlformats.org/officeDocument/2006/customXml" ds:itemID="{F88A32AF-F1D0-4B04-9CEB-5B36F6CB388E}">
  <ds:schemaRefs/>
</ds:datastoreItem>
</file>

<file path=customXml/itemProps20.xml><?xml version="1.0" encoding="utf-8"?>
<ds:datastoreItem xmlns:ds="http://schemas.openxmlformats.org/officeDocument/2006/customXml" ds:itemID="{7D5F71FC-3E2F-4E0B-9D68-8434FE7FD025}">
  <ds:schemaRefs/>
</ds:datastoreItem>
</file>

<file path=customXml/itemProps21.xml><?xml version="1.0" encoding="utf-8"?>
<ds:datastoreItem xmlns:ds="http://schemas.openxmlformats.org/officeDocument/2006/customXml" ds:itemID="{56A95C1B-94E0-42C2-9910-5BA064C324C1}">
  <ds:schemaRefs/>
</ds:datastoreItem>
</file>

<file path=customXml/itemProps22.xml><?xml version="1.0" encoding="utf-8"?>
<ds:datastoreItem xmlns:ds="http://schemas.openxmlformats.org/officeDocument/2006/customXml" ds:itemID="{685D0B68-D7F2-4C85-B799-5500E4D6FDA8}">
  <ds:schemaRefs/>
</ds:datastoreItem>
</file>

<file path=customXml/itemProps23.xml><?xml version="1.0" encoding="utf-8"?>
<ds:datastoreItem xmlns:ds="http://schemas.openxmlformats.org/officeDocument/2006/customXml" ds:itemID="{8A9CB896-6D65-45E4-A38E-CC8720094ADE}">
  <ds:schemaRefs/>
</ds:datastoreItem>
</file>

<file path=customXml/itemProps24.xml><?xml version="1.0" encoding="utf-8"?>
<ds:datastoreItem xmlns:ds="http://schemas.openxmlformats.org/officeDocument/2006/customXml" ds:itemID="{354D5639-8D0E-4CC9-B55D-6CA8AC0CB554}">
  <ds:schemaRefs>
    <ds:schemaRef ds:uri="http://schemas.microsoft.com/DataMashup"/>
  </ds:schemaRefs>
</ds:datastoreItem>
</file>

<file path=customXml/itemProps25.xml><?xml version="1.0" encoding="utf-8"?>
<ds:datastoreItem xmlns:ds="http://schemas.openxmlformats.org/officeDocument/2006/customXml" ds:itemID="{A5E8FEBD-BE5A-4A89-91BC-FF7135AC1B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Ko Ko Aung</cp:lastModifiedBy>
  <cp:revision/>
  <dcterms:created xsi:type="dcterms:W3CDTF">2022-11-26T09:51:45Z</dcterms:created>
  <dcterms:modified xsi:type="dcterms:W3CDTF">2025-11-03T14:39:12Z</dcterms:modified>
  <cp:category/>
  <cp:contentStatus/>
</cp:coreProperties>
</file>